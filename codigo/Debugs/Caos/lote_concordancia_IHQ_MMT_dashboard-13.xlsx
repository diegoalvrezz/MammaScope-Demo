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te_concordancia" sheetId="1" r:id="rId1"/>
    <sheet name="Dashboard" sheetId="2" r:id="rId2"/>
  </sheets>
  <definedNames>
    <definedName name="_xlnm._FilterDatabase" localSheetId="0" hidden="1">Lote_concordancia!$A$1:$AX$276</definedName>
  </definedNames>
  <calcPr calcId="124519" fullCalcOnLoad="1"/>
</workbook>
</file>

<file path=xl/sharedStrings.xml><?xml version="1.0" encoding="utf-8"?>
<sst xmlns="http://schemas.openxmlformats.org/spreadsheetml/2006/main" count="6406" uniqueCount="970">
  <si>
    <t>nhc</t>
  </si>
  <si>
    <t>sample_id</t>
  </si>
  <si>
    <t>ronda</t>
  </si>
  <si>
    <t>celularidad</t>
  </si>
  <si>
    <t>fecha_excel</t>
  </si>
  <si>
    <t>fecha_informe_mmt</t>
  </si>
  <si>
    <t>subtipo_ihq</t>
  </si>
  <si>
    <t>subtipo_mmt</t>
  </si>
  <si>
    <t>subtipo_mmt_detalle</t>
  </si>
  <si>
    <t>ESR1_IHQ</t>
  </si>
  <si>
    <t>ESR1_IHQ_intensidad</t>
  </si>
  <si>
    <t>ESR1_IHQ_pct</t>
  </si>
  <si>
    <t>ESR1_value</t>
  </si>
  <si>
    <t>ESR1_status</t>
  </si>
  <si>
    <t>ESR1_equiv</t>
  </si>
  <si>
    <t>ESR1_cutoff_nearest</t>
  </si>
  <si>
    <t>ESR1_delta_cutoff</t>
  </si>
  <si>
    <t>CONC_ESR1</t>
  </si>
  <si>
    <t>PGR_IHQ</t>
  </si>
  <si>
    <t>PGR_IHQ_intensidad</t>
  </si>
  <si>
    <t>PGR_IHQ_pct</t>
  </si>
  <si>
    <t>PGR_value</t>
  </si>
  <si>
    <t>PGR_status</t>
  </si>
  <si>
    <t>PGR_equiv</t>
  </si>
  <si>
    <t>PGR_cutoff_nearest</t>
  </si>
  <si>
    <t>PGR_delta_cutoff</t>
  </si>
  <si>
    <t>CONC_PGR</t>
  </si>
  <si>
    <t>HER2_final</t>
  </si>
  <si>
    <t>HER2_IHQ_score</t>
  </si>
  <si>
    <t>ERBB2_IHQ_SISH</t>
  </si>
  <si>
    <t>HER2_SISH_result</t>
  </si>
  <si>
    <t>ERBB2_value</t>
  </si>
  <si>
    <t>ERBB2_status</t>
  </si>
  <si>
    <t>ERBB2_equiv</t>
  </si>
  <si>
    <t>ERBB2_cutoff_nearest</t>
  </si>
  <si>
    <t>ERBB2_delta_cutoff</t>
  </si>
  <si>
    <t>CONC_HER2</t>
  </si>
  <si>
    <t>KI67_IHQ</t>
  </si>
  <si>
    <t>MKI67_value</t>
  </si>
  <si>
    <t>MKI67_status</t>
  </si>
  <si>
    <t>MKI67_equiv</t>
  </si>
  <si>
    <t>MKI67_cutoff_nearest</t>
  </si>
  <si>
    <t>MKI67_delta_cutoff</t>
  </si>
  <si>
    <t>CONC_KI67</t>
  </si>
  <si>
    <t>P53_IHQ_status</t>
  </si>
  <si>
    <t>P53_IHQ_pct</t>
  </si>
  <si>
    <t>CK19_IHQ_status</t>
  </si>
  <si>
    <t>aviso</t>
  </si>
  <si>
    <t>REVISION_RECOMENDADA</t>
  </si>
  <si>
    <t>firmantes_diag</t>
  </si>
  <si>
    <t>11B10001</t>
  </si>
  <si>
    <t>12B10002</t>
  </si>
  <si>
    <t>13B10003</t>
  </si>
  <si>
    <t>14B10004</t>
  </si>
  <si>
    <t>15B10005</t>
  </si>
  <si>
    <t>16B10006</t>
  </si>
  <si>
    <t>17B10007</t>
  </si>
  <si>
    <t>18B10008</t>
  </si>
  <si>
    <t>19B10009</t>
  </si>
  <si>
    <t>20B10010</t>
  </si>
  <si>
    <t>21B10011</t>
  </si>
  <si>
    <t>22B10012</t>
  </si>
  <si>
    <t>23B10013</t>
  </si>
  <si>
    <t>24B10014</t>
  </si>
  <si>
    <t>25B10015</t>
  </si>
  <si>
    <t>26B10016</t>
  </si>
  <si>
    <t>27B10017</t>
  </si>
  <si>
    <t>28B10018</t>
  </si>
  <si>
    <t>29B10019</t>
  </si>
  <si>
    <t>30B10020</t>
  </si>
  <si>
    <t>31B10021</t>
  </si>
  <si>
    <t>32B10022</t>
  </si>
  <si>
    <t>33B10023</t>
  </si>
  <si>
    <t>34B10024</t>
  </si>
  <si>
    <t>35B10025</t>
  </si>
  <si>
    <t>36B10026</t>
  </si>
  <si>
    <t>37B10027</t>
  </si>
  <si>
    <t>38B10028</t>
  </si>
  <si>
    <t>39B10029</t>
  </si>
  <si>
    <t>40B10030</t>
  </si>
  <si>
    <t>41B10031</t>
  </si>
  <si>
    <t>42B10032</t>
  </si>
  <si>
    <t>43B10033</t>
  </si>
  <si>
    <t>44B10034</t>
  </si>
  <si>
    <t>45B10035</t>
  </si>
  <si>
    <t>46B10036</t>
  </si>
  <si>
    <t>47B10037</t>
  </si>
  <si>
    <t>48B10038</t>
  </si>
  <si>
    <t>49B10039</t>
  </si>
  <si>
    <t>50B10040</t>
  </si>
  <si>
    <t>51B10041</t>
  </si>
  <si>
    <t>52B10042</t>
  </si>
  <si>
    <t>53B10043</t>
  </si>
  <si>
    <t>54B10044</t>
  </si>
  <si>
    <t>55B10045</t>
  </si>
  <si>
    <t>56B10046</t>
  </si>
  <si>
    <t>57B10047</t>
  </si>
  <si>
    <t>58B10048</t>
  </si>
  <si>
    <t>59B10049</t>
  </si>
  <si>
    <t>60B10050</t>
  </si>
  <si>
    <t>61B10051</t>
  </si>
  <si>
    <t>62B10052</t>
  </si>
  <si>
    <t>63B10053</t>
  </si>
  <si>
    <t>64B10054</t>
  </si>
  <si>
    <t>65B10055</t>
  </si>
  <si>
    <t>66B10056</t>
  </si>
  <si>
    <t>67B10057</t>
  </si>
  <si>
    <t>68B10058</t>
  </si>
  <si>
    <t>69B10059</t>
  </si>
  <si>
    <t>70B10060</t>
  </si>
  <si>
    <t>71B10061</t>
  </si>
  <si>
    <t>72B10062</t>
  </si>
  <si>
    <t>73B10063</t>
  </si>
  <si>
    <t>74B10064</t>
  </si>
  <si>
    <t>75B10065</t>
  </si>
  <si>
    <t>76B10066</t>
  </si>
  <si>
    <t>77B10067</t>
  </si>
  <si>
    <t>78B10068</t>
  </si>
  <si>
    <t>79B10069</t>
  </si>
  <si>
    <t>80B10070</t>
  </si>
  <si>
    <t>81B10071</t>
  </si>
  <si>
    <t>82B10072</t>
  </si>
  <si>
    <t>83B10073</t>
  </si>
  <si>
    <t>84B10074</t>
  </si>
  <si>
    <t>85B10075</t>
  </si>
  <si>
    <t>86B10076</t>
  </si>
  <si>
    <t>87B10077</t>
  </si>
  <si>
    <t>88B10078</t>
  </si>
  <si>
    <t>89B10079</t>
  </si>
  <si>
    <t>90B10080</t>
  </si>
  <si>
    <t>91B10081</t>
  </si>
  <si>
    <t>92B10082</t>
  </si>
  <si>
    <t>93B10083</t>
  </si>
  <si>
    <t>94B10084</t>
  </si>
  <si>
    <t>95B10085</t>
  </si>
  <si>
    <t>96B10086</t>
  </si>
  <si>
    <t>97B10087</t>
  </si>
  <si>
    <t>98B10088</t>
  </si>
  <si>
    <t>99B10089</t>
  </si>
  <si>
    <t>10B10090</t>
  </si>
  <si>
    <t>11B10091</t>
  </si>
  <si>
    <t>12B10092</t>
  </si>
  <si>
    <t>13B10093</t>
  </si>
  <si>
    <t>14B10094</t>
  </si>
  <si>
    <t>15B10095</t>
  </si>
  <si>
    <t>16B10096</t>
  </si>
  <si>
    <t>17B10097</t>
  </si>
  <si>
    <t>18B10098</t>
  </si>
  <si>
    <t>19B10099</t>
  </si>
  <si>
    <t>20B10100</t>
  </si>
  <si>
    <t>21B10101</t>
  </si>
  <si>
    <t>22B10102</t>
  </si>
  <si>
    <t>23B10103</t>
  </si>
  <si>
    <t>24B10104</t>
  </si>
  <si>
    <t>25B10105</t>
  </si>
  <si>
    <t>26B10106</t>
  </si>
  <si>
    <t>27B10107</t>
  </si>
  <si>
    <t>28B10108</t>
  </si>
  <si>
    <t>29B10109</t>
  </si>
  <si>
    <t>30B10110</t>
  </si>
  <si>
    <t>31B10111</t>
  </si>
  <si>
    <t>32B10112</t>
  </si>
  <si>
    <t>33B10113</t>
  </si>
  <si>
    <t>34B10114</t>
  </si>
  <si>
    <t>35B10115</t>
  </si>
  <si>
    <t>36B10116</t>
  </si>
  <si>
    <t>37B10117</t>
  </si>
  <si>
    <t>38B10118</t>
  </si>
  <si>
    <t>39B10119</t>
  </si>
  <si>
    <t>40B10120</t>
  </si>
  <si>
    <t>41B10121</t>
  </si>
  <si>
    <t>42B10122</t>
  </si>
  <si>
    <t>43B10123</t>
  </si>
  <si>
    <t>44B10124</t>
  </si>
  <si>
    <t>45B10125</t>
  </si>
  <si>
    <t>46B10126</t>
  </si>
  <si>
    <t>47B10127</t>
  </si>
  <si>
    <t>48B10128</t>
  </si>
  <si>
    <t>49B10129</t>
  </si>
  <si>
    <t>50B10130</t>
  </si>
  <si>
    <t>51B10131</t>
  </si>
  <si>
    <t>52B10132</t>
  </si>
  <si>
    <t>53B10133</t>
  </si>
  <si>
    <t>54B10134</t>
  </si>
  <si>
    <t>55B10135</t>
  </si>
  <si>
    <t>56B10136</t>
  </si>
  <si>
    <t>57B10137</t>
  </si>
  <si>
    <t>58B10138</t>
  </si>
  <si>
    <t>59B10139</t>
  </si>
  <si>
    <t>60B10140</t>
  </si>
  <si>
    <t>61B10141</t>
  </si>
  <si>
    <t>62B10142</t>
  </si>
  <si>
    <t>63B10143</t>
  </si>
  <si>
    <t>64B10144</t>
  </si>
  <si>
    <t>65B10145</t>
  </si>
  <si>
    <t>66B10146</t>
  </si>
  <si>
    <t>67B10147</t>
  </si>
  <si>
    <t>68B10148</t>
  </si>
  <si>
    <t>69B10149</t>
  </si>
  <si>
    <t>70B10150</t>
  </si>
  <si>
    <t>71B10151</t>
  </si>
  <si>
    <t>72B10152</t>
  </si>
  <si>
    <t>73B10153</t>
  </si>
  <si>
    <t>74B10154</t>
  </si>
  <si>
    <t>75B10155</t>
  </si>
  <si>
    <t>76B10156</t>
  </si>
  <si>
    <t>77B10157</t>
  </si>
  <si>
    <t>78B10158</t>
  </si>
  <si>
    <t>79B10159</t>
  </si>
  <si>
    <t>80B10160</t>
  </si>
  <si>
    <t>81B10161</t>
  </si>
  <si>
    <t>82B10162</t>
  </si>
  <si>
    <t>83B10163</t>
  </si>
  <si>
    <t>84B10164</t>
  </si>
  <si>
    <t>85B10165</t>
  </si>
  <si>
    <t>86B10166</t>
  </si>
  <si>
    <t>87B10167</t>
  </si>
  <si>
    <t>88B10168</t>
  </si>
  <si>
    <t>89B10169</t>
  </si>
  <si>
    <t>90B10170</t>
  </si>
  <si>
    <t>91B10171</t>
  </si>
  <si>
    <t>92B10172</t>
  </si>
  <si>
    <t>93B10173</t>
  </si>
  <si>
    <t>94B10174</t>
  </si>
  <si>
    <t>95B10175</t>
  </si>
  <si>
    <t>96B10176</t>
  </si>
  <si>
    <t>97B10177</t>
  </si>
  <si>
    <t>98B10178</t>
  </si>
  <si>
    <t>99B10179</t>
  </si>
  <si>
    <t>10B10180</t>
  </si>
  <si>
    <t>11B10181</t>
  </si>
  <si>
    <t>12B10182</t>
  </si>
  <si>
    <t>13B10183</t>
  </si>
  <si>
    <t>14B10184</t>
  </si>
  <si>
    <t>15B10185</t>
  </si>
  <si>
    <t>16B10186</t>
  </si>
  <si>
    <t>17B10187</t>
  </si>
  <si>
    <t>18B10188</t>
  </si>
  <si>
    <t>19B10189</t>
  </si>
  <si>
    <t>20B10190</t>
  </si>
  <si>
    <t>21B10191</t>
  </si>
  <si>
    <t>22B10192</t>
  </si>
  <si>
    <t>23B10193</t>
  </si>
  <si>
    <t>24B10194</t>
  </si>
  <si>
    <t>25B10195</t>
  </si>
  <si>
    <t>26B10196</t>
  </si>
  <si>
    <t>27B10197</t>
  </si>
  <si>
    <t>28B10198</t>
  </si>
  <si>
    <t>29B10199</t>
  </si>
  <si>
    <t>30B10200</t>
  </si>
  <si>
    <t>32B10202</t>
  </si>
  <si>
    <t>33B10203</t>
  </si>
  <si>
    <t>34B10204</t>
  </si>
  <si>
    <t>36B10206</t>
  </si>
  <si>
    <t>37B10207</t>
  </si>
  <si>
    <t>38B10208</t>
  </si>
  <si>
    <t>40B10210</t>
  </si>
  <si>
    <t>41B10211</t>
  </si>
  <si>
    <t>42B10212</t>
  </si>
  <si>
    <t>44B10214</t>
  </si>
  <si>
    <t>45B10215</t>
  </si>
  <si>
    <t>46B10216</t>
  </si>
  <si>
    <t>48B10218</t>
  </si>
  <si>
    <t>49B10219</t>
  </si>
  <si>
    <t>50B10220</t>
  </si>
  <si>
    <t>52B10222</t>
  </si>
  <si>
    <t>53B10223</t>
  </si>
  <si>
    <t>54B10224</t>
  </si>
  <si>
    <t>56B10226</t>
  </si>
  <si>
    <t>57B10227</t>
  </si>
  <si>
    <t>58B10228</t>
  </si>
  <si>
    <t>60B10230</t>
  </si>
  <si>
    <t>61B10231</t>
  </si>
  <si>
    <t>62B10232</t>
  </si>
  <si>
    <t>64B10234</t>
  </si>
  <si>
    <t>65B10235</t>
  </si>
  <si>
    <t>66B10236</t>
  </si>
  <si>
    <t>68B10238</t>
  </si>
  <si>
    <t>69B10239</t>
  </si>
  <si>
    <t>70B10240</t>
  </si>
  <si>
    <t>72B10242</t>
  </si>
  <si>
    <t>73B10243</t>
  </si>
  <si>
    <t>74B10244</t>
  </si>
  <si>
    <t>76B10246</t>
  </si>
  <si>
    <t>77B10247</t>
  </si>
  <si>
    <t>78B10248</t>
  </si>
  <si>
    <t>80B10250</t>
  </si>
  <si>
    <t>81B10251</t>
  </si>
  <si>
    <t>82B10252</t>
  </si>
  <si>
    <t>84B10254</t>
  </si>
  <si>
    <t>85B10255</t>
  </si>
  <si>
    <t>86B10256</t>
  </si>
  <si>
    <t>88B10258</t>
  </si>
  <si>
    <t>89B10259</t>
  </si>
  <si>
    <t>90B10260</t>
  </si>
  <si>
    <t>92B10262</t>
  </si>
  <si>
    <t>93B10263</t>
  </si>
  <si>
    <t>94B10264</t>
  </si>
  <si>
    <t>96B10266</t>
  </si>
  <si>
    <t>97B10267</t>
  </si>
  <si>
    <t>98B10268</t>
  </si>
  <si>
    <t>10B10270</t>
  </si>
  <si>
    <t>11B10271</t>
  </si>
  <si>
    <t>12B10272</t>
  </si>
  <si>
    <t>14B10274</t>
  </si>
  <si>
    <t>15B10275</t>
  </si>
  <si>
    <t>16B10276</t>
  </si>
  <si>
    <t>18B10278</t>
  </si>
  <si>
    <t>19B10279</t>
  </si>
  <si>
    <t>20B10280</t>
  </si>
  <si>
    <t>22B10282</t>
  </si>
  <si>
    <t>23B10283</t>
  </si>
  <si>
    <t>24B10284</t>
  </si>
  <si>
    <t>26B10286</t>
  </si>
  <si>
    <t>27B10287</t>
  </si>
  <si>
    <t>28B10288</t>
  </si>
  <si>
    <t>30B10290</t>
  </si>
  <si>
    <t>31B10291</t>
  </si>
  <si>
    <t>32B10292</t>
  </si>
  <si>
    <t>34B10294</t>
  </si>
  <si>
    <t>35B10295</t>
  </si>
  <si>
    <t>36B10296</t>
  </si>
  <si>
    <t>38B10298</t>
  </si>
  <si>
    <t>39B10299</t>
  </si>
  <si>
    <t>40B10300</t>
  </si>
  <si>
    <t>07/10/2025</t>
  </si>
  <si>
    <t>14/02/2026</t>
  </si>
  <si>
    <t>24/08/2024</t>
  </si>
  <si>
    <t>01/05/2025</t>
  </si>
  <si>
    <t>10/06/2026</t>
  </si>
  <si>
    <t>13/02/2026</t>
  </si>
  <si>
    <t>07/10/2024</t>
  </si>
  <si>
    <t>18/09/2026</t>
  </si>
  <si>
    <t>16/03/2024</t>
  </si>
  <si>
    <t>23/02/2024</t>
  </si>
  <si>
    <t>03/09/2026</t>
  </si>
  <si>
    <t>02/09/2025</t>
  </si>
  <si>
    <t>24/03/2025</t>
  </si>
  <si>
    <t>24/12/2026</t>
  </si>
  <si>
    <t>17/06/2026</t>
  </si>
  <si>
    <t>24/06/2024</t>
  </si>
  <si>
    <t>18/09/2024</t>
  </si>
  <si>
    <t>13/01/2025</t>
  </si>
  <si>
    <t>17/03/2026</t>
  </si>
  <si>
    <t>19/02/2026</t>
  </si>
  <si>
    <t>18/07/2025</t>
  </si>
  <si>
    <t>09/09/2026</t>
  </si>
  <si>
    <t>13/05/2024</t>
  </si>
  <si>
    <t>15/05/2025</t>
  </si>
  <si>
    <t>12/04/2026</t>
  </si>
  <si>
    <t>20/05/2026</t>
  </si>
  <si>
    <t>03/05/2025</t>
  </si>
  <si>
    <t>20/01/2025</t>
  </si>
  <si>
    <t>26/08/2024</t>
  </si>
  <si>
    <t>12/03/2025</t>
  </si>
  <si>
    <t>08/04/2024</t>
  </si>
  <si>
    <t>11/09/2024</t>
  </si>
  <si>
    <t>18/04/2025</t>
  </si>
  <si>
    <t>05/08/2026</t>
  </si>
  <si>
    <t>28/06/2026</t>
  </si>
  <si>
    <t>12/04/2025</t>
  </si>
  <si>
    <t>08/08/2025</t>
  </si>
  <si>
    <t>05/02/2025</t>
  </si>
  <si>
    <t>26/04/2024</t>
  </si>
  <si>
    <t>22/01/2025</t>
  </si>
  <si>
    <t>10/06/2025</t>
  </si>
  <si>
    <t>01/11/2025</t>
  </si>
  <si>
    <t>28/02/2026</t>
  </si>
  <si>
    <t>24/06/2025</t>
  </si>
  <si>
    <t>09/06/2024</t>
  </si>
  <si>
    <t>26/11/2026</t>
  </si>
  <si>
    <t>27/02/2026</t>
  </si>
  <si>
    <t>01/02/2026</t>
  </si>
  <si>
    <t>20/09/2026</t>
  </si>
  <si>
    <t>07/07/2024</t>
  </si>
  <si>
    <t>02/09/2024</t>
  </si>
  <si>
    <t>17/07/2026</t>
  </si>
  <si>
    <t>28/11/2026</t>
  </si>
  <si>
    <t>21/04/2026</t>
  </si>
  <si>
    <t>24/05/2026</t>
  </si>
  <si>
    <t>02/03/2024</t>
  </si>
  <si>
    <t>06/08/2026</t>
  </si>
  <si>
    <t>15/04/2024</t>
  </si>
  <si>
    <t>14/12/2024</t>
  </si>
  <si>
    <t>20/08/2026</t>
  </si>
  <si>
    <t>13/02/2024</t>
  </si>
  <si>
    <t>03/02/2025</t>
  </si>
  <si>
    <t>05/04/2025</t>
  </si>
  <si>
    <t>15/08/2025</t>
  </si>
  <si>
    <t>21/07/2025</t>
  </si>
  <si>
    <t>02/03/2026</t>
  </si>
  <si>
    <t>25/06/2026</t>
  </si>
  <si>
    <t>12/04/2024</t>
  </si>
  <si>
    <t>02/10/2026</t>
  </si>
  <si>
    <t>15/03/2026</t>
  </si>
  <si>
    <t>10/05/2024</t>
  </si>
  <si>
    <t>17/05/2025</t>
  </si>
  <si>
    <t>10/02/2025</t>
  </si>
  <si>
    <t>24/12/2025</t>
  </si>
  <si>
    <t>23/07/2026</t>
  </si>
  <si>
    <t>20/06/2025</t>
  </si>
  <si>
    <t>02/04/2024</t>
  </si>
  <si>
    <t>25/11/2024</t>
  </si>
  <si>
    <t>05/04/2024</t>
  </si>
  <si>
    <t>16/05/2026</t>
  </si>
  <si>
    <t>22/11/2026</t>
  </si>
  <si>
    <t>27/07/2025</t>
  </si>
  <si>
    <t>21/03/2024</t>
  </si>
  <si>
    <t>07/04/2025</t>
  </si>
  <si>
    <t>08/07/2024</t>
  </si>
  <si>
    <t>21/10/2026</t>
  </si>
  <si>
    <t>11/11/2024</t>
  </si>
  <si>
    <t>02/02/2026</t>
  </si>
  <si>
    <t>16/12/2025</t>
  </si>
  <si>
    <t>24/06/2026</t>
  </si>
  <si>
    <t>16/01/2024</t>
  </si>
  <si>
    <t>17/12/2026</t>
  </si>
  <si>
    <t>28/10/2026</t>
  </si>
  <si>
    <t>28/09/2024</t>
  </si>
  <si>
    <t>14/03/2026</t>
  </si>
  <si>
    <t>04/10/2026</t>
  </si>
  <si>
    <t>08/10/2026</t>
  </si>
  <si>
    <t>28/04/2025</t>
  </si>
  <si>
    <t>06/05/2025</t>
  </si>
  <si>
    <t>14/12/2026</t>
  </si>
  <si>
    <t>28/12/2026</t>
  </si>
  <si>
    <t>21/06/2026</t>
  </si>
  <si>
    <t>10/03/2025</t>
  </si>
  <si>
    <t>08/04/2025</t>
  </si>
  <si>
    <t>04/11/2024</t>
  </si>
  <si>
    <t>27/11/2026</t>
  </si>
  <si>
    <t>14/11/2024</t>
  </si>
  <si>
    <t>28/01/2025</t>
  </si>
  <si>
    <t>10/11/2025</t>
  </si>
  <si>
    <t>09/06/2026</t>
  </si>
  <si>
    <t>07/04/2026</t>
  </si>
  <si>
    <t>09/07/2026</t>
  </si>
  <si>
    <t>23/09/2026</t>
  </si>
  <si>
    <t>20/06/2026</t>
  </si>
  <si>
    <t>28/01/2026</t>
  </si>
  <si>
    <t>06/09/2024</t>
  </si>
  <si>
    <t>02/11/2026</t>
  </si>
  <si>
    <t>11/01/2026</t>
  </si>
  <si>
    <t>17/02/2025</t>
  </si>
  <si>
    <t>05/11/2024</t>
  </si>
  <si>
    <t>10/01/2024</t>
  </si>
  <si>
    <t>17/02/2024</t>
  </si>
  <si>
    <t>24/09/2024</t>
  </si>
  <si>
    <t>Positivo</t>
  </si>
  <si>
    <t>Negativo</t>
  </si>
  <si>
    <t>+++/+++</t>
  </si>
  <si>
    <t>++/+++</t>
  </si>
  <si>
    <t>Positive</t>
  </si>
  <si>
    <t>Negative</t>
  </si>
  <si>
    <t>positive</t>
  </si>
  <si>
    <t>neg</t>
  </si>
  <si>
    <t>POSITIVE</t>
  </si>
  <si>
    <t>negative</t>
  </si>
  <si>
    <t>N</t>
  </si>
  <si>
    <t>PGR</t>
  </si>
  <si>
    <t>posi</t>
  </si>
  <si>
    <t>equivocal</t>
  </si>
  <si>
    <t>≥10%</t>
  </si>
  <si>
    <t>&lt;1%</t>
  </si>
  <si>
    <t>1–10%</t>
  </si>
  <si>
    <t>OK</t>
  </si>
  <si>
    <t>DISCORDANTE</t>
  </si>
  <si>
    <t>NC</t>
  </si>
  <si>
    <t>+/+++</t>
  </si>
  <si>
    <t>ERBB2</t>
  </si>
  <si>
    <t>≥20%</t>
  </si>
  <si>
    <t>1–20%</t>
  </si>
  <si>
    <t>HER2 low (IHQ)</t>
  </si>
  <si>
    <t>HER2 equívoco (IHQ)</t>
  </si>
  <si>
    <t>HER2 positivo (IHQ)</t>
  </si>
  <si>
    <t>2+</t>
  </si>
  <si>
    <t>3+</t>
  </si>
  <si>
    <t>NEGATIVO (ULTRA LOW)</t>
  </si>
  <si>
    <t>NEGATIVO (+; HER2 LOW)</t>
  </si>
  <si>
    <t>amplificado</t>
  </si>
  <si>
    <t>Negativo (ULTRALOW)</t>
  </si>
  <si>
    <t>NEGATIVO (HER-2 LOW/+)</t>
  </si>
  <si>
    <t>equívoco (++)</t>
  </si>
  <si>
    <t>POSITIVO (3+)</t>
  </si>
  <si>
    <t>NEGATIVO (low)</t>
  </si>
  <si>
    <t>positivo (3+)</t>
  </si>
  <si>
    <t>NEGATIVO (ULTRALOW)</t>
  </si>
  <si>
    <t>Equívoco ( ++ )</t>
  </si>
  <si>
    <t>Negativo (HER2 LOW/+)</t>
  </si>
  <si>
    <t>??? Ki</t>
  </si>
  <si>
    <t>++++ Ki</t>
  </si>
  <si>
    <t>score: three Ki</t>
  </si>
  <si>
    <t>HER2 maybe Ki</t>
  </si>
  <si>
    <t>Ki</t>
  </si>
  <si>
    <t>2plus Ki</t>
  </si>
  <si>
    <t>ultra-low?? Ki</t>
  </si>
  <si>
    <t>ultra</t>
  </si>
  <si>
    <t>low</t>
  </si>
  <si>
    <t>zero</t>
  </si>
  <si>
    <t>ZERO</t>
  </si>
  <si>
    <t>Low</t>
  </si>
  <si>
    <t>NEGATIVE</t>
  </si>
  <si>
    <t>pos</t>
  </si>
  <si>
    <t>superpositive</t>
  </si>
  <si>
    <t>MKI67</t>
  </si>
  <si>
    <t>zero/ultra-low</t>
  </si>
  <si>
    <t>positivo</t>
  </si>
  <si>
    <t>MOCK</t>
  </si>
  <si>
    <t>~51%</t>
  </si>
  <si>
    <t>~11%</t>
  </si>
  <si>
    <t>≤5%</t>
  </si>
  <si>
    <t>~37%</t>
  </si>
  <si>
    <t>~16%</t>
  </si>
  <si>
    <t>~24%</t>
  </si>
  <si>
    <t>~14%</t>
  </si>
  <si>
    <t>≥60%</t>
  </si>
  <si>
    <t>~29%</t>
  </si>
  <si>
    <t>~10%</t>
  </si>
  <si>
    <t>~6%</t>
  </si>
  <si>
    <t>~40%</t>
  </si>
  <si>
    <t>~7%</t>
  </si>
  <si>
    <t>~13%</t>
  </si>
  <si>
    <t>~15%</t>
  </si>
  <si>
    <t>~12%</t>
  </si>
  <si>
    <t>~22%</t>
  </si>
  <si>
    <t>~36%</t>
  </si>
  <si>
    <t>~52%</t>
  </si>
  <si>
    <t>~28%</t>
  </si>
  <si>
    <t>~26%</t>
  </si>
  <si>
    <t>~44%</t>
  </si>
  <si>
    <t>~30%</t>
  </si>
  <si>
    <t>~43%</t>
  </si>
  <si>
    <t>~54%</t>
  </si>
  <si>
    <t>~9%</t>
  </si>
  <si>
    <t>~53%</t>
  </si>
  <si>
    <t>~45%</t>
  </si>
  <si>
    <t>~31%</t>
  </si>
  <si>
    <t>~58%</t>
  </si>
  <si>
    <t>~23%</t>
  </si>
  <si>
    <t>~34%</t>
  </si>
  <si>
    <t>~57%</t>
  </si>
  <si>
    <t>~33%</t>
  </si>
  <si>
    <t>~18%</t>
  </si>
  <si>
    <t>~8%</t>
  </si>
  <si>
    <t>~27%</t>
  </si>
  <si>
    <t>~17%</t>
  </si>
  <si>
    <t>~41%</t>
  </si>
  <si>
    <t>~19%</t>
  </si>
  <si>
    <t>~21%</t>
  </si>
  <si>
    <t>~59%</t>
  </si>
  <si>
    <t>~5%</t>
  </si>
  <si>
    <t>~20%</t>
  </si>
  <si>
    <t>~39%</t>
  </si>
  <si>
    <t>~42%</t>
  </si>
  <si>
    <t>~50%</t>
  </si>
  <si>
    <t>~32%</t>
  </si>
  <si>
    <t>~56%</t>
  </si>
  <si>
    <t>~25%</t>
  </si>
  <si>
    <t>~48%</t>
  </si>
  <si>
    <t>~47%</t>
  </si>
  <si>
    <t>~55%</t>
  </si>
  <si>
    <t>~46%</t>
  </si>
  <si>
    <t>~35%</t>
  </si>
  <si>
    <t>Mutado</t>
  </si>
  <si>
    <t>Wild-type</t>
  </si>
  <si>
    <t>Positiva</t>
  </si>
  <si>
    <t>Negativa</t>
  </si>
  <si>
    <t>• PR bajo por IHQ: 5% (interpretación dependiente del contexto).
• Posible discordancia proliferación: Ki-67 IHQ=10% (bajo) vs MMT(MKI67)=Positive (valor=37.5). Requiere revisión.
• HER2-low sin score IHQ documentado: categoría basada en comentario/texto. Interpretar con cautela.
• MMT cercano a cutoff: MKI67 (Δ=0.20). (umbral ≤0.50 Ct) Interpretar con cautela.</t>
  </si>
  <si>
    <t>• Discordancia ER: IHQ=Negativo (100%) vs MMT(ESR1)=Positive (valor=39.01). Requiere revisión.
• HER2-low sin score IHQ documentado: categoría basada en comentario/texto. Interpretar con cautela.
• MMT muy cercano a cutoff (CRÍTICO): PGR (Δ=0.15). (umbral ≤0.20 Ct) Interpretar con cautela.
• MMT cercano a cutoff: ERBB2 (Δ=0.44), MKI67 (Δ=0.49). (umbral ≤0.50 Ct) Interpretar con cautela.</t>
  </si>
  <si>
    <t>• Discordancia ER: IHQ=Positivo (100%) vs MMT(ESR1)=Negative (valor=39.47). Requiere revisión.
• Posible discordancia proliferación: Ki-67 IHQ=60% (alto) vs MMT(MKI67)=Negative (valor=35.06). Requiere revisión.
• MMT muy cercano a cutoff (CRÍTICO): MKI67 (Δ=0.04). (umbral ≤0.20 Ct) Interpretar con cautela.</t>
  </si>
  <si>
    <t>• Discordancia ER: IHQ=Positivo (100%) vs MMT(ESR1)=Negative (valor=36.94). Requiere revisión.
• HER2-low sin score IHQ documentado: categoría basada en comentario/texto. Interpretar con cautela.
• MMT muy cercano a cutoff (CRÍTICO): ESR1 (Δ=0.16). (umbral ≤0.20 Ct) Interpretar con cautela.
• MMT cercano a cutoff: MKI67 (Δ=0.39). (umbral ≤0.50 Ct) Interpretar con cautela.</t>
  </si>
  <si>
    <t>• Discordancia PR: IHQ=Negativo (15%) vs MMT(PGR)=Positive (valor=40.24). Requiere revisión.
• HER2-low sin score IHQ documentado: categoría basada en comentario/texto. Interpretar con cautela.
• MMT muy cercano a cutoff (CRÍTICO): MKI67 (Δ=0.17). (umbral ≤0.20 Ct) Interpretar con cautela.</t>
  </si>
  <si>
    <t>• Discordancia ER: IHQ=Negativo (100%) vs MMT(ESR1)=Positive (valor=40.65). Requiere revisión.
• Discordancia PR: IHQ=Positivo (1%) vs MMT(PGR)=Negative (valor=37.43). Requiere revisión.
• PR bajo por IHQ: 1% (interpretación dependiente del contexto).
• MMT cercano a cutoff: MKI67 (Δ=0.34). (umbral ≤0.50 Ct) Interpretar con cautela.</t>
  </si>
  <si>
    <t>• Discordancia ER: IHQ=Positivo vs MMT(ESR1)=Negative (valor=37.15). Requiere revisión.
• HER2-low sin score IHQ documentado: categoría basada en comentario/texto. Interpretar con cautela.
• MMT muy cercano a cutoff (CRÍTICO): ESR1 (Δ=0.05), MKI67 (Δ=0.06). (umbral ≤0.20 Ct) Interpretar con cautela.
• ER IHQ positivo pero porcentaje no consta (dato incompleto).</t>
  </si>
  <si>
    <t>• MMT muy cercano a cutoff (CRÍTICO): ERBB2 (Δ=0.19). (umbral ≤0.20 Ct) Interpretar con cautela.
• MMT cercano a cutoff: ESR1 (Δ=0.48), MKI67 (Δ=0.31). (umbral ≤0.50 Ct) Interpretar con cautela.</t>
  </si>
  <si>
    <t>• PR bajo por IHQ: 5% (interpretación dependiente del contexto).
• Posible discordancia proliferación: Ki-67 IHQ=60% (alto) vs MMT(MKI67)=Negative (valor=35.81). Requiere revisión.
• HER2-low sin score IHQ documentado: categoría basada en comentario/texto. Interpretar con cautela.
• MMT cercano a cutoff: MKI67 (Δ=0.49). (umbral ≤0.50 Ct) Interpretar con cautela.</t>
  </si>
  <si>
    <t>• Discordancia ER: IHQ=Negativo (100%) vs MMT(ESR1)=Positive (valor=38.84). Requiere revisión.
• Discordancia PR: IHQ=Positivo (2%) vs MMT(PGR)=Negative (valor=37.4). Requiere revisión.
• PR bajo por IHQ: 2% (interpretación dependiente del contexto).
• HER2-low sin score IHQ documentado: categoría basada en comentario/texto. Interpretar con cautela.
• MMT cercano a cutoff: MKI67 (Δ=0.27). (umbral ≤0.50 Ct) Interpretar con cautela.</t>
  </si>
  <si>
    <t>• Discordancia PR: IHQ=Negativo (100%) vs MMT(PGR)=Positive (valor=40.22). Requiere revisión.
• Posible discordancia proliferación: Ki-67 IHQ=40% (alto) vs MMT(MKI67)=Negative (valor=35.62). Requiere revisión.
• MMT muy cercano a cutoff (CRÍTICO): ERBB2 (Δ=0.08). (umbral ≤0.20 Ct) Interpretar con cautela.</t>
  </si>
  <si>
    <t>• Discordancia ER: IHQ=Positivo (100%) vs MMT(ESR1)=Negative (valor=36.79). Requiere revisión.
• Posible discordancia proliferación: Ki-67 IHQ=10% (bajo) vs MMT(MKI67)=Positive (valor=36.91). Requiere revisión.
• HER2-low sin score IHQ documentado: categoría basada en comentario/texto. Interpretar con cautela.
• MMT muy cercano a cutoff (CRÍTICO): ERBB2 (Δ=0.05), MKI67 (Δ=0.09). (umbral ≤0.20 Ct) Interpretar con cautela.
• MMT cercano a cutoff: ESR1 (Δ=0.31). (umbral ≤0.50 Ct) Interpretar con cautela.</t>
  </si>
  <si>
    <t>• Discordancia ER: IHQ=Negativo (85%) vs MMT(ESR1)=Positive (valor=38.97). Requiere revisión.
• Discordancia PR: IHQ=Negativo (15%) vs MMT(PGR)=Positive (valor=39.89). Requiere revisión.
• Posible discordancia proliferación: Ki-67 IHQ=30% (alto) vs MMT(MKI67)=Negative (valor=35.52). Requiere revisión.
• HER2-low sin score IHQ documentado: categoría basada en comentario/texto. Interpretar con cautela.
• MMT cercano a cutoff: MKI67 (Δ=0.42). (umbral ≤0.50 Ct) Interpretar con cautela.</t>
  </si>
  <si>
    <t>• Discordancia PR: IHQ=Negativo (1%) vs MMT(PGR)=Positive (valor=38.87). Requiere revisión.
• MMT muy cercano a cutoff (CRÍTICO): MKI67 (Δ=0.10). (umbral ≤0.20 Ct) Interpretar con cautela.
• MMT cercano a cutoff: ESR1 (Δ=0.29). (umbral ≤0.50 Ct) Interpretar con cautela.</t>
  </si>
  <si>
    <t>• Discordancia ER: IHQ=Negativo vs MMT(ESR1)=Positive (valor=39.12). Requiere revisión.
• HER2-low sin score IHQ documentado: categoría basada en comentario/texto. Interpretar con cautela.
• MMT cercano a cutoff: MKI67 (Δ=0.22). (umbral ≤0.50 Ct) Interpretar con cautela.</t>
  </si>
  <si>
    <t>• Discordancia ER: IHQ=Positivo vs MMT(ESR1)=Negative (valor=36.52). Requiere revisión.
• Discordancia PR: IHQ=Negativo vs MMT(PGR)=Positive (valor=40.1). Requiere revisión.
• Posible discordancia proliferación: Ki-67 IHQ=50% (alto) vs MMT(MKI67)=Negative (valor=34.75). Requiere revisión.
• MMT cercano a cutoff: MKI67 (Δ=0.35). (umbral ≤0.50 Ct) Interpretar con cautela.
• ER IHQ positivo pero porcentaje no consta (dato incompleto).</t>
  </si>
  <si>
    <t>• Discordancia ER: IHQ=Negativo (100%) vs MMT(ESR1)=Positive (valor=38.29). Requiere revisión.
• Discordancia PR: IHQ=Positivo (5%) vs MMT(PGR)=Negative (valor=38.8). Requiere revisión.
• PR bajo por IHQ: 5% (interpretación dependiente del contexto).
• HER2-low sin score IHQ documentado: categoría basada en comentario/texto. Interpretar con cautela.
• MMT muy cercano a cutoff (CRÍTICO): ESR1 (Δ=0.09). (umbral ≤0.20 Ct) Interpretar con cautela.
• MMT cercano a cutoff: MKI67 (Δ=0.27). (umbral ≤0.50 Ct) Interpretar con cautela.</t>
  </si>
  <si>
    <t>• Discordancia ER: IHQ=Positivo (100%) vs MMT(ESR1)=Negative (valor=39.31). Requiere revisión.
• PR bajo por IHQ: 2% (interpretación dependiente del contexto).
• HER2-low sin score IHQ documentado: categoría basada en comentario/texto. Interpretar con cautela.
• MMT cercano a cutoff: MKI67 (Δ=0.23). (umbral ≤0.50 Ct) Interpretar con cautela.</t>
  </si>
  <si>
    <t>• Discordancia PR: IHQ=Positivo (100%) vs MMT(PGR)=Negative (valor=38.88). Requiere revisión.
• HER2-low sin score IHQ documentado: categoría basada en comentario/texto. Interpretar con cautela.
• MMT muy cercano a cutoff (CRÍTICO): MKI67 (Δ=0.13). (umbral ≤0.20 Ct) Interpretar con cautela.</t>
  </si>
  <si>
    <t>• Posible discordancia proliferación: Ki-67 IHQ=40% (alto) vs MMT(MKI67)=Negative (valor=35.71). Requiere revisión.
• HER2-low sin score IHQ documentado: categoría basada en comentario/texto. Interpretar con cautela.</t>
  </si>
  <si>
    <t>• Discordancia ER: IHQ=Positivo (85%) vs MMT(ESR1)=Negative (valor=37.79). Requiere revisión.
• Discordancia PR: IHQ=Positivo (15%) vs MMT(PGR)=Negative (valor=38.37). Requiere revisión.
• MMT cercano a cutoff: ESR1 (Δ=0.41), MKI67 (Δ=0.43). (umbral ≤0.50 Ct) Interpretar con cautela.</t>
  </si>
  <si>
    <t>• Discordancia ER: IHQ=Negativo (100%) vs MMT(ESR1)=Positive (valor=40.99). Requiere revisión.
• Discordancia PR: IHQ=Positivo (1%) vs MMT(PGR)=Negative (valor=37.02). Requiere revisión.
• PR bajo por IHQ: 1% (interpretación dependiente del contexto).</t>
  </si>
  <si>
    <t>• Discordancia ER: IHQ=Negativo vs MMT(ESR1)=Positive (valor=39.6). Requiere revisión.
• HER2-low sin score IHQ documentado: categoría basada en comentario/texto. Interpretar con cautela.
• MMT muy cercano a cutoff (CRÍTICO): ERBB2 (Δ=0.07), PGR (Δ=0.09), MKI67 (Δ=0.16). (umbral ≤0.20 Ct) Interpretar con cautela.</t>
  </si>
  <si>
    <t>• Discordancia ER: IHQ=Negativo vs MMT(ESR1)=Positive (valor=38.96). Requiere revisión.
• Posible discordancia proliferación: Ki-67 IHQ=4% (bajo) vs MMT(MKI67)=Positive (valor=36.93). Requiere revisión.
• MMT muy cercano a cutoff (CRÍTICO): PGR (Δ=0.13), MKI67 (Δ=0.07). (umbral ≤0.20 Ct) Interpretar con cautela.</t>
  </si>
  <si>
    <t>• PR bajo por IHQ: 5% (interpretación dependiente del contexto).
• HER2-low sin score IHQ documentado: categoría basada en comentario/texto. Interpretar con cautela.
• MMT cercano a cutoff: MKI67 (Δ=0.29). (umbral ≤0.50 Ct) Interpretar con cautela.</t>
  </si>
  <si>
    <t>• Discordancia PR: IHQ=Positivo (2%) vs MMT(PGR)=Negative (valor=37.14). Requiere revisión.
• PR bajo por IHQ: 2% (interpretación dependiente del contexto).
• HER2-low sin score IHQ documentado: categoría basada en comentario/texto. Interpretar con cautela.
• MMT muy cercano a cutoff (CRÍTICO): MKI67 (Δ=0.16). (umbral ≤0.20 Ct) Interpretar con cautela.</t>
  </si>
  <si>
    <t>• Discordancia ER: IHQ=Negativo (100%) vs MMT(ESR1)=Positive (valor=39.84). Requiere revisión.
• HER2-low sin score IHQ documentado: categoría basada en comentario/texto. Interpretar con cautela.
• MMT cercano a cutoff: MKI67 (Δ=0.46). (umbral ≤0.50 Ct) Interpretar con cautela.</t>
  </si>
  <si>
    <t>• Discordancia PR: IHQ=Negativo (90%) vs MMT(PGR)=Positive (valor=39.91). Requiere revisión.
• HER2-low sin score IHQ documentado: categoría basada en comentario/texto. Interpretar con cautela.
• MMT muy cercano a cutoff (CRÍTICO): ESR1 (Δ=0.03), MKI67 (Δ=0.06). (umbral ≤0.20 Ct) Interpretar con cautela.</t>
  </si>
  <si>
    <t>• Discordancia ER: IHQ=Positivo (85%) vs MMT(ESR1)=Negative (valor=37.45). Requiere revisión.
• Posible discordancia proliferación: Ki-67 IHQ=40% (alto) vs MMT(MKI67)=Negative (valor=35.81). Requiere revisión.
• MMT muy cercano a cutoff (CRÍTICO): ERBB2 (Δ=0.02). (umbral ≤0.20 Ct) Interpretar con cautela.
• MMT cercano a cutoff: ESR1 (Δ=0.35), MKI67 (Δ=0.49). (umbral ≤0.50 Ct) Interpretar con cautela.</t>
  </si>
  <si>
    <t>• MMT cercano a cutoff: MKI67 (Δ=0.33). (umbral ≤0.50 Ct) Interpretar con cautela.</t>
  </si>
  <si>
    <t>• Posible discordancia proliferación: Ki-67 IHQ=40% (alto) vs MMT(MKI67)=Negative (valor=35.98). Requiere revisión.
• MMT muy cercano a cutoff (CRÍTICO): ERBB2 (Δ=0.18). (umbral ≤0.20 Ct) Interpretar con cautela.
• MMT cercano a cutoff: MKI67 (Δ=0.32). (umbral ≤0.50 Ct) Interpretar con cautela.</t>
  </si>
  <si>
    <t>• Discordancia PR: IHQ=Negativo vs MMT(PGR)=Positive (valor=38.68). Requiere revisión.
• MMT muy cercano a cutoff (CRÍTICO): MKI67 (Δ=0.14). (umbral ≤0.20 Ct) Interpretar con cautela.
• ER IHQ positivo pero porcentaje no consta (dato incompleto).</t>
  </si>
  <si>
    <t>• Discordancia ER: IHQ=Negativo (100%) vs MMT(ESR1)=Positive (valor=40.42). Requiere revisión.
• Discordancia PR: IHQ=Positivo (5%) vs MMT(PGR)=Negative (valor=38.93). Requiere revisión.
• PR bajo por IHQ: 5% (interpretación dependiente del contexto).
• HER2-low sin score IHQ documentado: categoría basada en comentario/texto. Interpretar con cautela.
• MMT muy cercano a cutoff (CRÍTICO): MKI67 (Δ=0.15). (umbral ≤0.20 Ct) Interpretar con cautela.</t>
  </si>
  <si>
    <t>• PR bajo por IHQ: 2% (interpretación dependiente del contexto).
• HER2-low sin score IHQ documentado: categoría basada en comentario/texto. Interpretar con cautela.
• MMT muy cercano a cutoff (CRÍTICO): MKI67 (Δ=0.18). (umbral ≤0.20 Ct) Interpretar con cautela.</t>
  </si>
  <si>
    <t>• Discordancia ER: IHQ=Negativo (100%) vs MMT(ESR1)=Positive (valor=40.42). Requiere revisión.
• HER2-low sin score IHQ documentado: categoría basada en comentario/texto. Interpretar con cautela.
• MMT muy cercano a cutoff (CRÍTICO): MKI67 (Δ=0.14). (umbral ≤0.20 Ct) Interpretar con cautela.
• MMT cercano a cutoff: ERBB2 (Δ=0.24). (umbral ≤0.50 Ct) Interpretar con cautela.</t>
  </si>
  <si>
    <t>• Discordancia PR: IHQ=Positivo (90%) vs MMT(PGR)=Negative (valor=37.26). Requiere revisión.
• HER2-low sin score IHQ documentado: categoría basada en comentario/texto. Interpretar con cautela.
• MMT cercano a cutoff: MKI67 (Δ=0.26). (umbral ≤0.50 Ct) Interpretar con cautela.</t>
  </si>
  <si>
    <t>• Discordancia PR: IHQ=Positivo (15%) vs MMT(PGR)=Negative (valor=39.32). Requiere revisión.
• HER2-low sin score IHQ documentado: categoría basada en comentario/texto. Interpretar con cautela.
• MMT cercano a cutoff: MKI67 (Δ=0.22). (umbral ≤0.50 Ct) Interpretar con cautela.</t>
  </si>
  <si>
    <t>• MMT cercano a cutoff: MKI67 (Δ=0.24). (umbral ≤0.50 Ct) Interpretar con cautela.</t>
  </si>
  <si>
    <t>• Discordancia PR: IHQ=Negativo vs MMT(PGR)=Positive (valor=39.92). Requiere revisión.
• MMT cercano a cutoff: ERBB2 (Δ=0.25), MKI67 (Δ=0.33). (umbral ≤0.50 Ct) Interpretar con cautela.</t>
  </si>
  <si>
    <t>• Discordancia PR: IHQ=Negativo vs MMT(PGR)=Positive (valor=39.04). Requiere revisión.
• MMT muy cercano a cutoff (CRÍTICO): ERBB2 (Δ=0.16), MKI67 (Δ=0.13). (umbral ≤0.20 Ct) Interpretar con cautela.
• ER IHQ positivo pero porcentaje no consta (dato incompleto).</t>
  </si>
  <si>
    <t>• Discordancia ER: IHQ=Positivo (100%) vs MMT(ESR1)=Negative (valor=38.77). Requiere revisión.
• PR bajo por IHQ: 5% (interpretación dependiente del contexto).
• Posible discordancia proliferación: Ki-67 IHQ=50% (alto) vs MMT(MKI67)=Negative (valor=35.66). Requiere revisión.
• HER2-low sin score IHQ documentado: categoría basada en comentario/texto. Interpretar con cautela.</t>
  </si>
  <si>
    <t>• Discordancia ER: IHQ=Negativo (100%) vs MMT(ESR1)=Positive (valor=40.48). Requiere revisión.
• Discordancia PR: IHQ=Negativo (2%) vs MMT(PGR)=Positive (valor=38.96). Requiere revisión.
• Posible discordancia proliferación: Ki-67 IHQ=30% (alto) vs MMT(MKI67)=Negative (valor=34.6). Requiere revisión.
• HER2-low sin score IHQ documentado: categoría basada en comentario/texto. Interpretar con cautela.
• MMT cercano a cutoff: MKI67 (Δ=0.50). (umbral ≤0.50 Ct) Interpretar con cautela.</t>
  </si>
  <si>
    <t>• Discordancia PR: IHQ=Positivo (100%) vs MMT(PGR)=Negative (valor=38.5). Requiere revisión.
• MMT muy cercano a cutoff (CRÍTICO): MKI67 (Δ=0.02). (umbral ≤0.20 Ct) Interpretar con cautela.
• MMT cercano a cutoff: ERBB2 (Δ=0.28), ESR1 (Δ=0.23). (umbral ≤0.50 Ct) Interpretar con cautela.</t>
  </si>
  <si>
    <t>• HER2-low sin score IHQ documentado: categoría basada en comentario/texto. Interpretar con cautela.
• MMT muy cercano a cutoff (CRÍTICO): ERBB2 (Δ=0.12). (umbral ≤0.20 Ct) Interpretar con cautela.
• MMT cercano a cutoff: ESR1 (Δ=0.36). (umbral ≤0.50 Ct) Interpretar con cautela.</t>
  </si>
  <si>
    <t>• Discordancia PR: IHQ=Negativo (15%) vs MMT(PGR)=Positive (valor=40.6). Requiere revisión.
• MMT muy cercano a cutoff (CRÍTICO): MKI67 (Δ=0.07). (umbral ≤0.20 Ct) Interpretar con cautela.</t>
  </si>
  <si>
    <t>• Discordancia ER: IHQ=Positivo (100%) vs MMT(ESR1)=Negative (valor=37.38). Requiere revisión.
• Discordancia PR: IHQ=Negativo (1%) vs MMT(PGR)=Positive (valor=39.78). Requiere revisión.
• MMT cercano a cutoff: ESR1 (Δ=0.28), MKI67 (Δ=0.25). (umbral ≤0.50 Ct) Interpretar con cautela.</t>
  </si>
  <si>
    <t>• Discordancia PR: IHQ=Negativo vs MMT(PGR)=Positive (valor=40.91). Requiere revisión.
• Posible discordancia proliferación: Ki-67 IHQ=40% (alto) vs MMT(MKI67)=Negative (valor=34.52). Requiere revisión.
• HER2-low sin score IHQ documentado: categoría basada en comentario/texto. Interpretar con cautela.
• MMT cercano a cutoff: ERBB2 (Δ=0.39). (umbral ≤0.50 Ct) Interpretar con cautela.</t>
  </si>
  <si>
    <t>• Discordancia PR: IHQ=Negativo vs MMT(PGR)=Positive (valor=40.34). Requiere revisión.
• MMT cercano a cutoff: ESR1 (Δ=0.47), MKI67 (Δ=0.31). (umbral ≤0.50 Ct) Interpretar con cautela.</t>
  </si>
  <si>
    <t>• Discordancia PR: IHQ=Positivo (5%) vs MMT(PGR)=Negative (valor=39.83). Requiere revisión.
• PR bajo por IHQ: 5% (interpretación dependiente del contexto).
• HER2-low sin score IHQ documentado: categoría basada en comentario/texto. Interpretar con cautela.
• MMT muy cercano a cutoff (CRÍTICO): ESR1 (Δ=0.09), MKI67 (Δ=0.15). (umbral ≤0.20 Ct) Interpretar con cautela.
• MMT cercano a cutoff: ERBB2 (Δ=0.24). (umbral ≤0.50 Ct) Interpretar con cautela.</t>
  </si>
  <si>
    <t>• Discordancia ER: IHQ=Negativo (100%) vs MMT(ESR1)=Positive (valor=38.08). Requiere revisión.
• Discordancia PR: IHQ=Negativo (2%) vs MMT(PGR)=Positive (valor=39.9). Requiere revisión.
• HER2-low sin score IHQ documentado: categoría basada en comentario/texto. Interpretar con cautela.
• MMT muy cercano a cutoff (CRÍTICO): ESR1 (Δ=0.12). (umbral ≤0.20 Ct) Interpretar con cautela.
• MMT cercano a cutoff: MKI67 (Δ=0.29). (umbral ≤0.50 Ct) Interpretar con cautela.</t>
  </si>
  <si>
    <t>• Discordancia ER: IHQ=Positivo (100%) vs MMT(ESR1)=Negative (valor=36.18). Requiere revisión.
• HER2-low sin score IHQ documentado: categoría basada en comentario/texto. Interpretar con cautela.
• MMT muy cercano a cutoff (CRÍTICO): MKI67 (Δ=0.17). (umbral ≤0.20 Ct) Interpretar con cautela.
• MMT cercano a cutoff: ERBB2 (Δ=0.36). (umbral ≤0.50 Ct) Interpretar con cautela.</t>
  </si>
  <si>
    <t>• Discordancia PR: IHQ=Negativo (90%) vs MMT(PGR)=Positive (valor=39.75). Requiere revisión.
• HER2-low sin score IHQ documentado: categoría basada en comentario/texto. Interpretar con cautela.
• MMT cercano a cutoff: ESR1 (Δ=0.48), MKI67 (Δ=0.34). (umbral ≤0.50 Ct) Interpretar con cautela.</t>
  </si>
  <si>
    <t>• MMT muy cercano a cutoff (CRÍTICO): MKI67 (Δ=0.16). (umbral ≤0.20 Ct) Interpretar con cautela.
• MMT cercano a cutoff: ESR1 (Δ=0.45). (umbral ≤0.50 Ct) Interpretar con cautela.</t>
  </si>
  <si>
    <t>• Discordancia ER: IHQ=Positivo (100%) vs MMT(ESR1)=Negative (valor=39.78). Requiere revisión.
• Discordancia PR: IHQ=Negativo (1%) vs MMT(PGR)=Positive (valor=40.47). Requiere revisión.
• MMT muy cercano a cutoff (CRÍTICO): MKI67 (Δ=0.02). (umbral ≤0.20 Ct) Interpretar con cautela.</t>
  </si>
  <si>
    <t>• Discordancia PR: IHQ=Negativo vs MMT(PGR)=Positive (valor=40.33). Requiere revisión.
• MMT muy cercano a cutoff (CRÍTICO): MKI67 (Δ=0.04). (umbral ≤0.20 Ct) Interpretar con cautela.
• ER IHQ positivo pero porcentaje no consta (dato incompleto).</t>
  </si>
  <si>
    <t>• MMT cercano a cutoff: MKI67 (Δ=0.27). (umbral ≤0.50 Ct) Interpretar con cautela.
• ER IHQ positivo pero porcentaje no consta (dato incompleto).</t>
  </si>
  <si>
    <t>• Discordancia PR: IHQ=Positivo (5%) vs MMT(PGR)=Negative (valor=38.23). Requiere revisión.
• PR bajo por IHQ: 5% (interpretación dependiente del contexto).
• HER2-low sin score IHQ documentado: categoría basada en comentario/texto. Interpretar con cautela.
• MMT muy cercano a cutoff (CRÍTICO): ESR1 (Δ=0.03). (umbral ≤0.20 Ct) Interpretar con cautela.
• MMT cercano a cutoff: MKI67 (Δ=0.24). (umbral ≤0.50 Ct) Interpretar con cautela.</t>
  </si>
  <si>
    <t>• Discordancia PR: IHQ=Positivo (2%) vs MMT(PGR)=Negative (valor=36.47). Requiere revisión.
• PR bajo por IHQ: 2% (interpretación dependiente del contexto).
• HER2-low sin score IHQ documentado: categoría basada en comentario/texto. Interpretar con cautela.
• MMT muy cercano a cutoff (CRÍTICO): ERBB2 (Δ=0.08), ESR1 (Δ=0.10), PGR (Δ=0.17), MKI67 (Δ=0.02). (umbral ≤0.20 Ct) Interpretar con cautela.</t>
  </si>
  <si>
    <t>• Discordancia ER: IHQ=Positivo (100%) vs MMT(ESR1)=Negative (valor=38.06). Requiere revisión.
• MMT muy cercano a cutoff (CRÍTICO): ESR1 (Δ=0.14), PGR (Δ=0.05). (umbral ≤0.20 Ct) Interpretar con cautela.
• MMT cercano a cutoff: MKI67 (Δ=0.24). (umbral ≤0.50 Ct) Interpretar con cautela.</t>
  </si>
  <si>
    <t>• Discordancia ER: IHQ=Positivo (100%) vs MMT(ESR1)=Negative (valor=36.08). Requiere revisión.
• Discordancia PR: IHQ=Positivo (90%) vs MMT(PGR)=Negative (valor=36.23). Requiere revisión.
• HER2-low sin score IHQ documentado: categoría basada en comentario/texto. Interpretar con cautela.
• MMT muy cercano a cutoff (CRÍTICO): PGR (Δ=0.07). (umbral ≤0.20 Ct) Interpretar con cautela.
• MMT cercano a cutoff: MKI67 (Δ=0.27). (umbral ≤0.50 Ct) Interpretar con cautela.</t>
  </si>
  <si>
    <t>• Discordancia ER: IHQ=Negativo (85%) vs MMT(ESR1)=Positive (valor=39.52). Requiere revisión.
• Discordancia PR: IHQ=Positivo (15%) vs MMT(PGR)=Negative (valor=36.58). Requiere revisión.
• Posible discordancia proliferación: Ki-67 IHQ=10% (bajo) vs MMT(MKI67)=Positive (valor=37.1). Requiere revisión.
• MMT muy cercano a cutoff (CRÍTICO): ERBB2 (Δ=0.00), MKI67 (Δ=0.10). (umbral ≤0.20 Ct) Interpretar con cautela.
• MMT cercano a cutoff: PGR (Δ=0.28). (umbral ≤0.50 Ct) Interpretar con cautela.</t>
  </si>
  <si>
    <t>• Discordancia ER: IHQ=Positivo (100%) vs MMT(ESR1)=Negative (valor=37.25). Requiere revisión.
• Discordancia PR: IHQ=Negativo (1%) vs MMT(PGR)=Positive (valor=40.01). Requiere revisión.
• MMT muy cercano a cutoff (CRÍTICO): ESR1 (Δ=0.15), MKI67 (Δ=0.08). (umbral ≤0.20 Ct) Interpretar con cautela.</t>
  </si>
  <si>
    <t>• Discordancia PR: IHQ=Negativo vs MMT(PGR)=Positive (valor=38.45). Requiere revisión.
• HER2-low sin score IHQ documentado: categoría basada en comentario/texto. Interpretar con cautela.
• MMT muy cercano a cutoff (CRÍTICO): MKI67 (Δ=0.06). (umbral ≤0.20 Ct) Interpretar con cautela.
• MMT cercano a cutoff: ESR1 (Δ=0.41). (umbral ≤0.50 Ct) Interpretar con cautela.
• ER IHQ positivo pero porcentaje no consta (dato incompleto).</t>
  </si>
  <si>
    <t>• Discordancia ER: IHQ=Negativo vs MMT(ESR1)=Positive (valor=39.85). Requiere revisión.
• Discordancia PR: IHQ=Negativo vs MMT(PGR)=Positive (valor=38.58). Requiere revisión.
• HER2-low sin score IHQ documentado: categoría basada en comentario/texto. Interpretar con cautela.
• MMT muy cercano a cutoff (CRÍTICO): ERBB2 (Δ=0.20). (umbral ≤0.20 Ct) Interpretar con cautela.</t>
  </si>
  <si>
    <t>• PR bajo por IHQ: 5% (interpretación dependiente del contexto).
• HER2-low sin score IHQ documentado: categoría basada en comentario/texto. Interpretar con cautela.
• MMT cercano a cutoff: MKI67 (Δ=0.23). (umbral ≤0.50 Ct) Interpretar con cautela.</t>
  </si>
  <si>
    <t>• Discordancia ER: IHQ=Negativo (100%) vs MMT(ESR1)=Positive (valor=38.95). Requiere revisión.
• Discordancia PR: IHQ=Positivo (2%) vs MMT(PGR)=Negative (valor=39.67). Requiere revisión.
• PR bajo por IHQ: 2% (interpretación dependiente del contexto).
• HER2-low sin score IHQ documentado: categoría basada en comentario/texto. Interpretar con cautela.
• MMT muy cercano a cutoff (CRÍTICO): ERBB2 (Δ=0.16), MKI67 (Δ=0.06). (umbral ≤0.20 Ct) Interpretar con cautela.</t>
  </si>
  <si>
    <t>• Discordancia ER: IHQ=Positivo (100%) vs MMT(ESR1)=Negative (valor=38.02). Requiere revisión.
• MMT muy cercano a cutoff (CRÍTICO): ESR1 (Δ=0.18), MKI67 (Δ=0.01). (umbral ≤0.20 Ct) Interpretar con cautela.</t>
  </si>
  <si>
    <t>• Discordancia PR: IHQ=Positivo (90%) vs MMT(PGR)=Negative (valor=39.39). Requiere revisión.
• Posible discordancia proliferación: Ki-67 IHQ=50% (alto) vs MMT(MKI67)=Negative (valor=36.13). Requiere revisión.
• HER2-low sin score IHQ documentado: categoría basada en comentario/texto. Interpretar con cautela.
• MMT muy cercano a cutoff (CRÍTICO): MKI67 (Δ=0.17). (umbral ≤0.20 Ct) Interpretar con cautela.
• MMT cercano a cutoff: ESR1 (Δ=0.45). (umbral ≤0.50 Ct) Interpretar con cautela.</t>
  </si>
  <si>
    <t>• Posible discordancia proliferación: Ki-67 IHQ=60% (alto) vs MMT(MKI67)=Negative (valor=35.67). Requiere revisión.
• HER2-low sin score IHQ documentado: categoría basada en comentario/texto. Interpretar con cautela.
• MMT cercano a cutoff: ERBB2 (Δ=0.41). (umbral ≤0.50 Ct) Interpretar con cautela.</t>
  </si>
  <si>
    <t>• Discordancia PR: IHQ=Negativo (1%) vs MMT(PGR)=Positive (valor=39.1). Requiere revisión.
• MMT cercano a cutoff: MKI67 (Δ=0.23). (umbral ≤0.50 Ct) Interpretar con cautela.</t>
  </si>
  <si>
    <t>• Discordancia PR: IHQ=Negativo vs MMT(PGR)=Positive (valor=38.65). Requiere revisión.
• HER2-low sin score IHQ documentado: categoría basada en comentario/texto. Interpretar con cautela.
• MMT muy cercano a cutoff (CRÍTICO): ESR1 (Δ=0.05). (umbral ≤0.20 Ct) Interpretar con cautela.
• MMT cercano a cutoff: MKI67 (Δ=0.39). (umbral ≤0.50 Ct) Interpretar con cautela.
• ER IHQ positivo pero porcentaje no consta (dato incompleto).</t>
  </si>
  <si>
    <t>• Discordancia ER: IHQ=Positivo vs MMT(ESR1)=Negative (valor=39.81). Requiere revisión.
• MMT cercano a cutoff: MKI67 (Δ=0.24). (umbral ≤0.50 Ct) Interpretar con cautela.
• ER IHQ positivo pero porcentaje no consta (dato incompleto).</t>
  </si>
  <si>
    <t>• PR bajo por IHQ: 5% (interpretación dependiente del contexto).
• Posible discordancia proliferación: Ki-67 IHQ=60% (alto) vs MMT(MKI67)=Negative (valor=35.99). Requiere revisión.
• HER2-low sin score IHQ documentado: categoría basada en comentario/texto. Interpretar con cautela.
• MMT muy cercano a cutoff (CRÍTICO): ESR1 (Δ=0.07). (umbral ≤0.20 Ct) Interpretar con cautela.
• MMT cercano a cutoff: MKI67 (Δ=0.31). (umbral ≤0.50 Ct) Interpretar con cautela.</t>
  </si>
  <si>
    <t>• Discordancia ER: IHQ=Positivo (100%) vs MMT(ESR1)=Negative (valor=38.96). Requiere revisión.
• Posible discordancia proliferación: Ki-67 IHQ=10% (bajo) vs MMT(MKI67)=Positive (valor=36.61). Requiere revisión.
• HER2-low sin score IHQ documentado: categoría basada en comentario/texto. Interpretar con cautela.
• MMT cercano a cutoff: MKI67 (Δ=0.31). (umbral ≤0.50 Ct) Interpretar con cautela.</t>
  </si>
  <si>
    <t>• Discordancia ER: IHQ=Positivo (100%) vs MMT(ESR1)=Negative (valor=37.19). Requiere revisión.
• HER2-low sin score IHQ documentado: categoría basada en comentario/texto. Interpretar con cautela.
• MMT muy cercano a cutoff (CRÍTICO): ESR1 (Δ=0.09), MKI67 (Δ=0.05). (umbral ≤0.20 Ct) Interpretar con cautela.</t>
  </si>
  <si>
    <t>• Discordancia PR: IHQ=Positivo (90%) vs MMT(PGR)=Negative (valor=36.91). Requiere revisión.
• HER2-low sin score IHQ documentado: categoría basada en comentario/texto. Interpretar con cautela.
• MMT muy cercano a cutoff (CRÍTICO): ERBB2 (Δ=0.18). (umbral ≤0.20 Ct) Interpretar con cautela.
• MMT cercano a cutoff: ESR1 (Δ=0.45). (umbral ≤0.50 Ct) Interpretar con cautela.</t>
  </si>
  <si>
    <t>• Discordancia PR: IHQ=Positivo (15%) vs MMT(PGR)=Negative (valor=37.57). Requiere revisión.
• Posible discordancia proliferación: Ki-67 IHQ=4% (bajo) vs MMT(MKI67)=Positive (valor=37.76). Requiere revisión.
• MMT muy cercano a cutoff (CRÍTICO): MKI67 (Δ=0.06). (umbral ≤0.20 Ct) Interpretar con cautela.</t>
  </si>
  <si>
    <t>• Discordancia ER: IHQ=Positivo (100%) vs MMT(ESR1)=Negative (valor=38.35). Requiere revisión.
• MMT muy cercano a cutoff (CRÍTICO): ESR1 (Δ=0.15). (umbral ≤0.20 Ct) Interpretar con cautela.
• MMT cercano a cutoff: MKI67 (Δ=0.31). (umbral ≤0.50 Ct) Interpretar con cautela.</t>
  </si>
  <si>
    <t>• Discordancia ER: IHQ=Positivo vs MMT(ESR1)=Negative (valor=39.23). Requiere revisión.
• Discordancia PR: IHQ=Negativo vs MMT(PGR)=Positive (valor=38.91). Requiere revisión.
• Posible discordancia proliferación: Ki-67 IHQ=4% (bajo) vs MMT(MKI67)=Positive (valor=36.83). Requiere revisión.
• HER2-low sin score IHQ documentado: categoría basada en comentario/texto. Interpretar con cautela.
• MMT muy cercano a cutoff (CRÍTICO): MKI67 (Δ=0.17). (umbral ≤0.20 Ct) Interpretar con cautela.
• ER IHQ positivo pero porcentaje no consta (dato incompleto).</t>
  </si>
  <si>
    <t>• Discordancia PR: IHQ=Negativo vs MMT(PGR)=Positive (valor=40.53). Requiere revisión.
• Posible discordancia proliferación: Ki-67 IHQ=30% (alto) vs MMT(MKI67)=Negative (valor=35.2). Requiere revisión.
• MMT muy cercano a cutoff (CRÍTICO): ESR1 (Δ=0.15), MKI67 (Δ=0.10). (umbral ≤0.20 Ct) Interpretar con cautela.
• ER IHQ positivo pero porcentaje no consta (dato incompleto).</t>
  </si>
  <si>
    <t>• Discordancia PR: IHQ=Positivo (5%) vs MMT(PGR)=Negative (valor=37.42). Requiere revisión.
• PR bajo por IHQ: 5% (interpretación dependiente del contexto).
• HER2-low sin score IHQ documentado: categoría basada en comentario/texto. Interpretar con cautela.
• MMT muy cercano a cutoff (CRÍTICO): MKI67 (Δ=0.14). (umbral ≤0.20 Ct) Interpretar con cautela.</t>
  </si>
  <si>
    <t>• Discordancia ER: IHQ=Positivo (100%) vs MMT(ESR1)=Negative (valor=37.6). Requiere revisión.
• PR bajo por IHQ: 2% (interpretación dependiente del contexto).
• HER2-low sin score IHQ documentado: categoría basada en comentario/texto. Interpretar con cautela.
• MMT muy cercano a cutoff (CRÍTICO): MKI67 (Δ=0.12). (umbral ≤0.20 Ct) Interpretar con cautela.
• MMT cercano a cutoff: ESR1 (Δ=0.50). (umbral ≤0.50 Ct) Interpretar con cautela.</t>
  </si>
  <si>
    <t>• HER2-low sin score IHQ documentado: categoría basada en comentario/texto. Interpretar con cautela.
• MMT cercano a cutoff: ERBB2 (Δ=0.50), MKI67 (Δ=0.24). (umbral ≤0.50 Ct) Interpretar con cautela.</t>
  </si>
  <si>
    <t>• Discordancia PR: IHQ=Negativo (90%) vs MMT(PGR)=Positive (valor=40.91). Requiere revisión.
• HER2-low sin score IHQ documentado: categoría basada en comentario/texto. Interpretar con cautela.
• MMT muy cercano a cutoff (CRÍTICO): ESR1 (Δ=0.12), MKI67 (Δ=0.18). (umbral ≤0.20 Ct) Interpretar con cautela.</t>
  </si>
  <si>
    <t>• Discordancia ER: IHQ=Negativo (85%) vs MMT(ESR1)=Positive (valor=38.35). Requiere revisión.
• Discordancia PR: IHQ=Negativo (15%) vs MMT(PGR)=Positive (valor=38.96). Requiere revisión.
• Posible discordancia proliferación: Ki-67 IHQ=40% (alto) vs MMT(MKI67)=Negative (valor=34.83). Requiere revisión.
• HER2-low sin score IHQ documentado: categoría basada en comentario/texto. Interpretar con cautela.
• MMT muy cercano a cutoff (CRÍTICO): ESR1 (Δ=0.15). (umbral ≤0.20 Ct) Interpretar con cautela.
• MMT cercano a cutoff: MKI67 (Δ=0.27). (umbral ≤0.50 Ct) Interpretar con cautela.</t>
  </si>
  <si>
    <t>• Discordancia PR: IHQ=Negativo (1%) vs MMT(PGR)=Positive (valor=40.96). Requiere revisión.
• MMT muy cercano a cutoff (CRÍTICO): MKI67 (Δ=0.14). (umbral ≤0.20 Ct) Interpretar con cautela.</t>
  </si>
  <si>
    <t>• Discordancia PR: IHQ=Negativo vs MMT(PGR)=Positive (valor=39.9). Requiere revisión.
• MMT muy cercano a cutoff (CRÍTICO): ESR1 (Δ=0.15). (umbral ≤0.20 Ct) Interpretar con cautela.
• MMT cercano a cutoff: MKI67 (Δ=0.24). (umbral ≤0.50 Ct) Interpretar con cautela.
• ER IHQ positivo pero porcentaje no consta (dato incompleto).</t>
  </si>
  <si>
    <t>• MMT cercano a cutoff: ERBB2 (Δ=0.28), MKI67 (Δ=0.28). (umbral ≤0.50 Ct) Interpretar con cautela.
• ER IHQ positivo pero porcentaje no consta (dato incompleto).</t>
  </si>
  <si>
    <t>• PR bajo por IHQ: 5% (interpretación dependiente del contexto).
• HER2-low sin score IHQ documentado: categoría basada en comentario/texto. Interpretar con cautela.
• MMT cercano a cutoff: MKI67 (Δ=0.25). (umbral ≤0.50 Ct) Interpretar con cautela.</t>
  </si>
  <si>
    <t>• HER2-low sin score IHQ documentado: categoría basada en comentario/texto. Interpretar con cautela.
• MMT muy cercano a cutoff (CRÍTICO): MKI67 (Δ=0.12). (umbral ≤0.20 Ct) Interpretar con cautela.
• MMT cercano a cutoff: PGR (Δ=0.22). (umbral ≤0.50 Ct) Interpretar con cautela.</t>
  </si>
  <si>
    <t>• Discordancia ER: IHQ=Negativo (100%) vs MMT(ESR1)=Positive (valor=39.86). Requiere revisión.
• HER2-low sin score IHQ documentado: categoría basada en comentario/texto. Interpretar con cautela.
• MMT cercano a cutoff: MKI67 (Δ=0.24). (umbral ≤0.50 Ct) Interpretar con cautela.</t>
  </si>
  <si>
    <t>• Discordancia ER: IHQ=Positivo (100%) vs MMT(ESR1)=Negative (valor=36.07). Requiere revisión.
• Discordancia PR: IHQ=Positivo (90%) vs MMT(PGR)=Negative (valor=37.85). Requiere revisión.
• Posible discordancia proliferación: Ki-67 IHQ=10% (bajo) vs MMT(MKI67)=Positive (valor=37.88). Requiere revisión.
• HER2-low sin score IHQ documentado: categoría basada en comentario/texto. Interpretar con cautela.
• MMT muy cercano a cutoff (CRÍTICO): MKI67 (Δ=0.18). (umbral ≤0.20 Ct) Interpretar con cautela.</t>
  </si>
  <si>
    <t>• Posible discordancia proliferación: Ki-67 IHQ=30% (alto) vs MMT(MKI67)=Negative (valor=34.76). Requiere revisión.
• HER2-low sin score IHQ documentado: categoría basada en comentario/texto. Interpretar con cautela.
• MMT cercano a cutoff: MKI67 (Δ=0.34). (umbral ≤0.50 Ct) Interpretar con cautela.</t>
  </si>
  <si>
    <t>• MMT muy cercano a cutoff (CRÍTICO): ESR1 (Δ=0.20). (umbral ≤0.20 Ct) Interpretar con cautela.
• MMT cercano a cutoff: MKI67 (Δ=0.21). (umbral ≤0.50 Ct) Interpretar con cautela.</t>
  </si>
  <si>
    <t>• Discordancia PR: IHQ=Negativo vs MMT(PGR)=Positive (valor=38.69). Requiere revisión.
• Posible discordancia proliferación: Ki-67 IHQ=10% (bajo) vs MMT(MKI67)=Positive (valor=37.23). Requiere revisión.
• MMT muy cercano a cutoff (CRÍTICO): ERBB2 (Δ=0.06). (umbral ≤0.20 Ct) Interpretar con cautela.
• MMT cercano a cutoff: MKI67 (Δ=0.23). (umbral ≤0.50 Ct) Interpretar con cautela.
• ER IHQ positivo pero porcentaje no consta (dato incompleto).</t>
  </si>
  <si>
    <t>• Discordancia ER: IHQ=Negativo vs MMT(ESR1)=Positive (valor=40.62). Requiere revisión.
• MMT muy cercano a cutoff (CRÍTICO): MKI67 (Δ=0.10). (umbral ≤0.20 Ct) Interpretar con cautela.</t>
  </si>
  <si>
    <t>• PR bajo por IHQ: 5% (interpretación dependiente del contexto).
• HER2-low sin score IHQ documentado: categoría basada en comentario/texto. Interpretar con cautela.
• MMT muy cercano a cutoff (CRÍTICO): ESR1 (Δ=0.15). (umbral ≤0.20 Ct) Interpretar con cautela.
• MMT cercano a cutoff: MKI67 (Δ=0.25). (umbral ≤0.50 Ct) Interpretar con cautela.</t>
  </si>
  <si>
    <t>• PR bajo por IHQ: 2% (interpretación dependiente del contexto).
• HER2-low sin score IHQ documentado: categoría basada en comentario/texto. Interpretar con cautela.
• MMT muy cercano a cutoff (CRÍTICO): ERBB2 (Δ=0.04). (umbral ≤0.20 Ct) Interpretar con cautela.
• MMT cercano a cutoff: ESR1 (Δ=0.50), MKI67 (Δ=0.46). (umbral ≤0.50 Ct) Interpretar con cautela.</t>
  </si>
  <si>
    <t>• MMT muy cercano a cutoff (CRÍTICO): MKI67 (Δ=0.17). (umbral ≤0.20 Ct) Interpretar con cautela.
• MMT cercano a cutoff: ESR1 (Δ=0.43). (umbral ≤0.50 Ct) Interpretar con cautela.</t>
  </si>
  <si>
    <t>• Discordancia ER: IHQ=Positivo (100%) vs MMT(ESR1)=Negative (valor=38.65). Requiere revisión.
• HER2-low sin score IHQ documentado: categoría basada en comentario/texto. Interpretar con cautela.
• MMT muy cercano a cutoff (CRÍTICO): PGR (Δ=0.16), MKI67 (Δ=0.17). (umbral ≤0.20 Ct) Interpretar con cautela.
• MMT cercano a cutoff: ESR1 (Δ=0.45). (umbral ≤0.50 Ct) Interpretar con cautela.</t>
  </si>
  <si>
    <t>• Discordancia PR: IHQ=Negativo (15%) vs MMT(PGR)=positive (valor=40.5). Requiere revisión.
• Posible discordancia proliferación: Ki-67 IHQ=40% (alto) vs MMT(MKI67)=Negative (valor=36.2). Requiere revisión.
• HER2-low sin score IHQ documentado: categoría basada en comentario/texto. Interpretar con cautela.
• MMT muy cercano a cutoff (CRÍTICO): MKI67 (Δ=0.10). (umbral ≤0.20 Ct) Interpretar con cautela.</t>
  </si>
  <si>
    <t>• Discordancia PR: IHQ=Positivo (1%) vs MMT(PGR)=negative (valor=37.91). Requiere revisión.
• PR bajo por IHQ: 1% (interpretación dependiente del contexto).
• MMT muy cercano a cutoff (CRÍTICO): MKI67 (Δ=0.06). (umbral ≤0.20 Ct) Interpretar con cautela.</t>
  </si>
  <si>
    <t>• HER2-low sin score IHQ documentado: categoría basada en comentario/texto. Interpretar con cautela.
• MMT muy cercano a cutoff (CRÍTICO): ERBB2 (Δ=0.02). (umbral ≤0.20 Ct) Interpretar con cautela.
• MMT cercano a cutoff: ESR1 (Δ=0.49). (umbral ≤0.50 Ct) Interpretar con cautela.</t>
  </si>
  <si>
    <t>• Discordancia PR: IHQ=Negativo vs MMT(PGR)=Positive (valor=39.65). Requiere revisión.
• MMT muy cercano a cutoff (CRÍTICO): ESR1 (Δ=0.05). (umbral ≤0.20 Ct) Interpretar con cautela.
• MMT cercano a cutoff: MKI67 (Δ=0.50). (umbral ≤0.50 Ct) Interpretar con cautela.</t>
  </si>
  <si>
    <t>• Discordancia PR: IHQ=Positivo (5%) vs MMT(PGR)=negative (valor=37.81). Requiere revisión.
• PR bajo por IHQ: 5% (interpretación dependiente del contexto).
• Posible discordancia proliferación: Ki-67 IHQ=40% (alto) vs MMT(MKI67)=neg (valor=34.71). Requiere revisión.
• HER2-low sin score IHQ documentado: categoría basada en comentario/texto. Interpretar con cautela.
• MMT cercano a cutoff: MKI67 (Δ=0.39). (umbral ≤0.50 Ct) Interpretar con cautela.</t>
  </si>
  <si>
    <t>• Discordancia PR: IHQ=Positivo (2%) vs MMT(PGR)=negative (valor=37.05). Requiere revisión.
• PR bajo por IHQ: 2% (interpretación dependiente del contexto).
• Posible discordancia proliferación: Ki-67 IHQ=4% (bajo) vs MMT(MKI67)=positive (valor=36.37). Requiere revisión.
• HER2-low sin score IHQ documentado: categoría basada en comentario/texto. Interpretar con cautela.
• MMT muy cercano a cutoff (CRÍTICO): MKI67 (Δ=0.07). (umbral ≤0.20 Ct) Interpretar con cautela.</t>
  </si>
  <si>
    <t>• Discordancia PR: IHQ=Positivo (100%) vs MMT(PGR)=Negative (valor=39.84). Requiere revisión.
• HER2-low sin score IHQ documentado: categoría basada en comentario/texto. Interpretar con cautela.
• MMT muy cercano a cutoff (CRÍTICO): MKI67 (Δ=0.19). (umbral ≤0.20 Ct) Interpretar con cautela.
• MMT cercano a cutoff: ESR1 (Δ=0.39). (umbral ≤0.50 Ct) Interpretar con cautela.</t>
  </si>
  <si>
    <t>• Discordancia ER: IHQ=Negativo (100%) vs MMT(ESR1)=positive (valor=38.45). Requiere revisión.
• HER2-low sin score IHQ documentado: categoría basada en comentario/texto. Interpretar con cautela.
• MMT muy cercano a cutoff (CRÍTICO): MKI67 (Δ=0.08). (umbral ≤0.20 Ct) Interpretar con cautela.
• MMT cercano a cutoff: ERBB2 (Δ=0.48), ESR1 (Δ=0.25), PGR (Δ=0.30). (umbral ≤0.50 Ct) Interpretar con cautela.</t>
  </si>
  <si>
    <t>• Discordancia ER: IHQ=Negativo (85%) vs MMT(ESR1)=positive (valor=38.16). Requiere revisión.
• Discordancia PR: IHQ=Positivo (15%) vs MMT(PGR)=neg (valor=39.74). Requiere revisión.
• HER2-low sin score IHQ documentado: categoría basada en comentario/texto. Interpretar con cautela.
• MMT muy cercano a cutoff (CRÍTICO): ESR1 (Δ=0.04), MKI67 (Δ=0.19). (umbral ≤0.20 Ct) Interpretar con cautela.</t>
  </si>
  <si>
    <t>• Discordancia ER: IHQ=Negativo (100%) vs MMT(ESR1)=positive (valor=40.39). Requiere revisión.
• MMT cercano a cutoff: ERBB2 (Δ=0.33), MKI67 (Δ=0.23). (umbral ≤0.50 Ct) Interpretar con cautela.</t>
  </si>
  <si>
    <t>• Discordancia PR: IHQ=Negativo vs MMT(PGR)=positive (valor=38.56). Requiere revisión.
• HER2-low sin score IHQ documentado: categoría basada en comentario/texto. Interpretar con cautela.
• MMT muy cercano a cutoff (CRÍTICO): MKI67 (Δ=0.06). (umbral ≤0.20 Ct) Interpretar con cautela.
• ER IHQ positivo pero porcentaje no consta (dato incompleto).</t>
  </si>
  <si>
    <t>• Discordancia ER: IHQ=Negativo vs MMT(ESR1)=positive (valor=38.61). Requiere revisión.
• Discordancia PR: IHQ=Negativo vs MMT(PGR)=Positive (valor=38.6). Requiere revisión.
• MMT cercano a cutoff: ESR1 (Δ=0.41), MKI67 (Δ=0.35). (umbral ≤0.50 Ct) Interpretar con cautela.</t>
  </si>
  <si>
    <t>• Discordancia ER: IHQ=Negativo (100%) vs MMT(ESR1)=Positive (valor=40.96). Requiere revisión.
• PR bajo por IHQ: 5% (interpretación dependiente del contexto).
• HER2-low sin score IHQ documentado: categoría basada en comentario/texto. Interpretar con cautela.
• MMT muy cercano a cutoff (CRÍTICO): MKI67 (Δ=0.03). (umbral ≤0.20 Ct) Interpretar con cautela.
• MMT cercano a cutoff: ERBB2 (Δ=0.28). (umbral ≤0.50 Ct) Interpretar con cautela.</t>
  </si>
  <si>
    <t>• Discordancia ER: IHQ=Positivo (100%) vs MMT(ESR1)=negative (valor=38.78). Requiere revisión.
• HER2-low sin score IHQ documentado: categoría basada en comentario/texto. Interpretar con cautela.
• MMT muy cercano a cutoff (CRÍTICO): ERBB2 (Δ=0.07), PGR (Δ=0.04), MKI67 (Δ=0.12). (umbral ≤0.20 Ct) Interpretar con cautela.</t>
  </si>
  <si>
    <t>• Discordancia PR: IHQ=Negativo (100%) vs MMT(PGR)=Positive (valor=38.13). Requiere revisión.
• HER2-low sin score IHQ documentado: categoría basada en comentario/texto. Interpretar con cautela.</t>
  </si>
  <si>
    <t>• Discordancia PR: IHQ=Negativo (90%) vs MMT(PGR)=positive (valor=40.45). Requiere revisión.
• Posible discordancia proliferación: Ki-67 IHQ=40% (alto) vs MMT(MKI67)=neg (valor=36.15). Requiere revisión.
• HER2-low sin score IHQ documentado: categoría basada en comentario/texto. Interpretar con cautela.
• MMT muy cercano a cutoff (CRÍTICO): MKI67 (Δ=0.15). (umbral ≤0.20 Ct) Interpretar con cautela.</t>
  </si>
  <si>
    <t>• Discordancia ER: IHQ=Negativo (85%) vs MMT(ESR1)=positive (valor=38.62). Requiere revisión.
• HER2-low sin score IHQ documentado: categoría basada en comentario/texto. Interpretar con cautela.
• MMT muy cercano a cutoff (CRÍTICO): MKI67 (Δ=0.18). (umbral ≤0.20 Ct) Interpretar con cautela.
• MMT cercano a cutoff: ESR1 (Δ=0.42). (umbral ≤0.50 Ct) Interpretar con cautela.</t>
  </si>
  <si>
    <t>• Discordancia PR: IHQ=Positivo (1%) vs MMT(PGR)=negative (valor=36.67). Requiere revisión.
• PR bajo por IHQ: 1% (interpretación dependiente del contexto).
• MMT muy cercano a cutoff (CRÍTICO): MKI67 (Δ=0.12). (umbral ≤0.20 Ct) Interpretar con cautela.
• MMT cercano a cutoff: PGR (Δ=0.37). (umbral ≤0.50 Ct) Interpretar con cautela.</t>
  </si>
  <si>
    <t>• Discordancia PR: IHQ=Negativo vs MMT(PGR)=Positive (valor=38.54). Requiere revisión.
• HER2-low sin score IHQ documentado: categoría basada en comentario/texto. Interpretar con cautela.
• MMT muy cercano a cutoff (CRÍTICO): MKI67 (Δ=0.09). (umbral ≤0.20 Ct) Interpretar con cautela.
• ER IHQ positivo pero porcentaje no consta (dato incompleto).</t>
  </si>
  <si>
    <t>• Posible discordancia proliferación: Ki-67 IHQ=30% (alto) vs MMT(MKI67)=neg (valor=35.84). Requiere revisión.
• MMT muy cercano a cutoff (CRÍTICO): ESR1 (Δ=0.10). (umbral ≤0.20 Ct) Interpretar con cautela.
• MMT cercano a cutoff: MKI67 (Δ=0.46). (umbral ≤0.50 Ct) Interpretar con cautela.</t>
  </si>
  <si>
    <t>• PR bajo por IHQ: 5% (interpretación dependiente del contexto).
• HER2-low sin score IHQ documentado: categoría basada en comentario/texto. Interpretar con cautela.
• MMT muy cercano a cutoff (CRÍTICO): MKI67 (Δ=0.04). (umbral ≤0.20 Ct) Interpretar con cautela.
• MMT cercano a cutoff: ESR1 (Δ=0.49). (umbral ≤0.50 Ct) Interpretar con cautela.</t>
  </si>
  <si>
    <t>• Discordancia ER: IHQ=Negativo (100%) vs MMT(ESR1)=POSITIVE (valor=38.5). Requiere revisión.
• HER2-low sin score IHQ documentado: categoría basada en comentario/texto. Interpretar con cautela.
• MMT cercano a cutoff: ESR1 (Δ=0.30), MKI67 (Δ=0.41). (umbral ≤0.50 Ct) Interpretar con cautela.</t>
  </si>
  <si>
    <t>• Posible discordancia proliferación: Ki-67 IHQ=50% (alto) vs MMT(MKI67)=neg (valor=34.61). Requiere revisión.
• HER2-low sin score IHQ documentado: categoría basada en comentario/texto. Interpretar con cautela.
• MMT cercano a cutoff: ERBB2 (Δ=0.25), ESR1 (Δ=0.39), MKI67 (Δ=0.49). (umbral ≤0.50 Ct) Interpretar con cautela.</t>
  </si>
  <si>
    <t>• Discordancia ER: IHQ=Positivo (100%) vs MMT(ESR1)=negative (valor=37.13). Requiere revisión.
• HER2-low sin score IHQ documentado: categoría basada en comentario/texto. Interpretar con cautela.
• MMT muy cercano a cutoff (CRÍTICO): ESR1 (Δ=0.03), MKI67 (Δ=0.14). (umbral ≤0.20 Ct) Interpretar con cautela.</t>
  </si>
  <si>
    <t>• HER2-low sin score IHQ documentado: categoría basada en comentario/texto. Interpretar con cautela.
• MMT muy cercano a cutoff (CRÍTICO): ERBB2 (Δ=0.05), MKI67 (Δ=0.03). (umbral ≤0.20 Ct) Interpretar con cautela.</t>
  </si>
  <si>
    <t>• Discordancia ER: IHQ=Negativo (100%) vs MMT(ESR1)=POSITIVE (valor=40.43). Requiere revisión.
• Discordancia PR: IHQ=Negativo (1%) vs MMT(PGR)=POSITIVE (valor=40.99). Requiere revisión.
• MMT muy cercano a cutoff (CRÍTICO): ERBB2 (Δ=0.06). (umbral ≤0.20 Ct) Interpretar con cautela.
• MMT cercano a cutoff: MKI67 (Δ=0.34). (umbral ≤0.50 Ct) Interpretar con cautela.</t>
  </si>
  <si>
    <t>• Discordancia ER: IHQ=Negativo vs MMT(ESR1)=POSITIVE (valor=39.69). Requiere revisión.
• Discordancia PR: IHQ=Negativo vs MMT(PGR)=POSITIVE (valor=39.74). Requiere revisión.
• Posible discordancia proliferación: Ki-67 IHQ=40% (alto) vs MMT(MKI67)=negative (valor=35.69). Requiere revisión.
• HER2-low sin score IHQ documentado: categoría basada en comentario/texto. Interpretar con cautela.</t>
  </si>
  <si>
    <t>• Posible discordancia proliferación: Ki-67 IHQ=10% (bajo) vs MMT(MKI67)=Positive (valor=37.3). Requiere revisión.
• HER2-low sin score IHQ documentado: categoría basada en comentario/texto. Interpretar con cautela.
• MMT cercano a cutoff: ERBB2 (Δ=0.33), ESR1 (Δ=0.45), MKI67 (Δ=0.30). (umbral ≤0.50 Ct) Interpretar con cautela.</t>
  </si>
  <si>
    <t>• Discordancia ER: IHQ=Negativo (100%) vs MMT(ESR1)=Positive (valor=40.81). Requiere revisión.
• PR bajo por IHQ: 5% (interpretación dependiente del contexto).
• HER2-low sin score IHQ documentado: categoría basada en comentario/texto. Interpretar con cautela.
• MMT muy cercano a cutoff (CRÍTICO): MKI67 (Δ=0.13). (umbral ≤0.20 Ct) Interpretar con cautela.</t>
  </si>
  <si>
    <t>• Discordancia ER: IHQ=Positivo (100%) vs MMT(ESR1)=negative (valor=37.23). Requiere revisión.
• Discordancia PR: IHQ=Negativo (2%) vs MMT(PGR)=Positive (valor=39.38). Requiere revisión.
• HER2-low sin score IHQ documentado: categoría basada en comentario/texto. Interpretar con cautela.
• MMT muy cercano a cutoff (CRÍTICO): ESR1 (Δ=0.13). (umbral ≤0.20 Ct) Interpretar con cautela.
• MMT cercano a cutoff: MKI67 (Δ=0.23). (umbral ≤0.50 Ct) Interpretar con cautela.</t>
  </si>
  <si>
    <t>• Discordancia PR: IHQ=Negativo (100%) vs MMT(PGR)=POSITIVE (valor=39.14). Requiere revisión.
• HER2-low sin score IHQ documentado: categoría basada en comentario/texto. Interpretar con cautela.</t>
  </si>
  <si>
    <t>• Discordancia ER: IHQ=Negativo (100%) vs MMT(ESR1)=Positive (valor=40.38). Requiere revisión.
• Discordancia PR: IHQ=Positivo (90%) vs MMT(PGR)=Negative (valor=38.87). Requiere revisión.
• Posible discordancia proliferación: Ki-67 IHQ=30% (alto) vs MMT(MKI67)=Negative (valor=34.62). Requiere revisión.
• HER2-low sin score IHQ documentado: categoría basada en comentario/texto. Interpretar con cautela.
• MMT muy cercano a cutoff (CRÍTICO): ERBB2 (Δ=0.19). (umbral ≤0.20 Ct) Interpretar con cautela.
• MMT cercano a cutoff: MKI67 (Δ=0.48). (umbral ≤0.50 Ct) Interpretar con cautela.</t>
  </si>
  <si>
    <t>• Discordancia ER: IHQ=Positivo (85%) vs MMT(ESR1)=negative (valor=37.04). Requiere revisión.
• HER2-low sin score IHQ documentado: categoría basada en comentario/texto. Interpretar con cautela.
• MMT muy cercano a cutoff (CRÍTICO): ESR1 (Δ=0.06), MKI67 (Δ=0.15). (umbral ≤0.20 Ct) Interpretar con cautela.</t>
  </si>
  <si>
    <t>• Discordancia ER: IHQ=Positivo (100%) vs MMT(ESR1)=neg (valor=36.19). Requiere revisión.
• PR bajo por IHQ: 1% (interpretación dependiente del contexto).
• MMT cercano a cutoff: MKI67 (Δ=0.29). (umbral ≤0.50 Ct) Interpretar con cautela.</t>
  </si>
  <si>
    <t>• Discordancia ER: IHQ=Negativo vs MMT(ESR1)=POSITIVE (valor=40.92). Requiere revisión.</t>
  </si>
  <si>
    <t>• Discordancia ER: IHQ=Positivo vs MMT(ESR1)=negative (valor=36.96). Requiere revisión.
• MMT muy cercano a cutoff (CRÍTICO): ESR1 (Δ=0.14), MKI67 (Δ=0.00). (umbral ≤0.20 Ct) Interpretar con cautela.
• MMT cercano a cutoff: ERBB2 (Δ=0.32). (umbral ≤0.50 Ct) Interpretar con cautela.
• ER IHQ positivo pero porcentaje no consta (dato incompleto).</t>
  </si>
  <si>
    <t>• Discordancia ER: IHQ=Negativo (100%) vs MMT(ESR1)=Positive (valor=40.53). Requiere revisión.
• PR bajo por IHQ: 5% (interpretación dependiente del contexto).
• HER2-low sin score IHQ documentado: categoría basada en comentario/texto. Interpretar con cautela.</t>
  </si>
  <si>
    <t>• Discordancia ER: IHQ=Positivo (100%) vs MMT(ESR1)=neg (valor=37.31). Requiere revisión.
• PR bajo por IHQ: 2% (interpretación dependiente del contexto).
• Posible discordancia proliferación: Ki-67 IHQ=60% (alto) vs MMT(MKI67)=Negative (valor=35.44). Requiere revisión.
• HER2-low sin score IHQ documentado: categoría basada en comentario/texto. Interpretar con cautela.
• MMT cercano a cutoff: ESR1 (Δ=0.21), MKI67 (Δ=0.34). (umbral ≤0.50 Ct) Interpretar con cautela.</t>
  </si>
  <si>
    <t>• Discordancia PR: IHQ=Positivo (100%) vs MMT(PGR)=Negative (valor=38.19). Requiere revisión.
• MMT muy cercano a cutoff (CRÍTICO): MKI67 (Δ=0.16). (umbral ≤0.20 Ct) Interpretar con cautela.
• MMT cercano a cutoff: ERBB2 (Δ=0.36), ESR1 (Δ=0.41). (umbral ≤0.50 Ct) Interpretar con cautela.</t>
  </si>
  <si>
    <t>• Discordancia PR: IHQ=Negativo (90%) vs MMT(PGR)=Positive (valor=39.31). Requiere revisión.
• HER2-low sin score IHQ documentado: categoría basada en comentario/texto. Interpretar con cautela.
• MMT cercano a cutoff: MKI67 (Δ=0.32). (umbral ≤0.50 Ct) Interpretar con cautela.</t>
  </si>
  <si>
    <t>• Discordancia ER: IHQ=Negativo (85%) vs MMT(ESR1)=Positive (valor=38.8). Requiere revisión.
• HER2-low sin score IHQ documentado: categoría basada en comentario/texto. Interpretar con cautela.
• MMT muy cercano a cutoff (CRÍTICO): MKI67 (Δ=0.07). (umbral ≤0.20 Ct) Interpretar con cautela.</t>
  </si>
  <si>
    <t>• Discordancia ER: IHQ=Positivo (100%) vs MMT(ESR1)=negative (valor=38.18). Requiere revisión.
• PR bajo por IHQ: 1% (interpretación dependiente del contexto).
• MMT muy cercano a cutoff (CRÍTICO): ERBB2 (Δ=0.16), ESR1 (Δ=0.02), MKI67 (Δ=0.17). (umbral ≤0.20 Ct) Interpretar con cautela.</t>
  </si>
  <si>
    <t>• Discordancia ER: IHQ=Positivo vs MMT(ESR1)=negative (valor=39.18). Requiere revisión.
• Discordancia PR: IHQ=Negativo vs MMT(PGR)=Positive (valor=39.6). Requiere revisión.
• MMT cercano a cutoff: MKI67 (Δ=0.49). (umbral ≤0.50 Ct) Interpretar con cautela.
• ER IHQ positivo pero porcentaje no consta (dato incompleto).</t>
  </si>
  <si>
    <t>• Discordancia ER: IHQ=Positivo vs MMT(ESR1)=Negative (valor=37.14). Requiere revisión.
• Discordancia PR: IHQ=Negativo vs MMT(PGR)=Positive (valor=40.53). Requiere revisión.
• MMT muy cercano a cutoff (CRÍTICO): ESR1 (Δ=0.04). (umbral ≤0.20 Ct) Interpretar con cautela.
• MMT cercano a cutoff: ERBB2 (Δ=0.28), MKI67 (Δ=0.21). (umbral ≤0.50 Ct) Interpretar con cautela.
• ER IHQ positivo pero porcentaje no consta (dato incompleto).</t>
  </si>
  <si>
    <t>• Discordancia PR: IHQ=Positivo (5%) vs MMT(PGR)=Negative (valor=36.38). Requiere revisión.
• PR bajo por IHQ: 5% (interpretación dependiente del contexto).
• HER2-low sin score IHQ documentado: categoría basada en comentario/texto. Interpretar con cautela.
• MMT muy cercano a cutoff (CRÍTICO): ERBB2 (Δ=0.20), PGR (Δ=0.08). (umbral ≤0.20 Ct) Interpretar con cautela.
• MMT cercano a cutoff: MKI67 (Δ=0.26). (umbral ≤0.50 Ct) Interpretar con cautela.</t>
  </si>
  <si>
    <t>• Discordancia PR: IHQ=Positivo (2%) vs MMT(PGR)=negative (valor=38.34). Requiere revisión.
• PR bajo por IHQ: 2% (interpretación dependiente del contexto).
• HER2-low sin score IHQ documentado: categoría basada en comentario/texto. Interpretar con cautela.
• MMT cercano a cutoff: MKI67 (Δ=0.22). (umbral ≤0.50 Ct) Interpretar con cautela.</t>
  </si>
  <si>
    <t>• Discordancia PR: IHQ=Positivo (100%) vs MMT(PGR)=negative (valor=39.61). Requiere revisión.
• HER2-low sin score IHQ documentado: categoría basada en comentario/texto. Interpretar con cautela.
• MMT muy cercano a cutoff (CRÍTICO): MKI67 (Δ=0.19). (umbral ≤0.20 Ct) Interpretar con cautela.</t>
  </si>
  <si>
    <t>• Discordancia ER: IHQ=Positivo (100%) vs MMT(ESR1)=neg (valor=37.94). Requiere revisión.
• Discordancia PR: IHQ=Negativo (90%) vs MMT(PGR)=Positive (valor=39.73). Requiere revisión.
• HER2-low sin score IHQ documentado: categoría basada en comentario/texto. Interpretar con cautela.
• MMT muy cercano a cutoff (CRÍTICO): MKI67 (Δ=0.05). (umbral ≤0.20 Ct) Interpretar con cautela.
• MMT cercano a cutoff: ERBB2 (Δ=0.22), ESR1 (Δ=0.26). (umbral ≤0.50 Ct) Interpretar con cautela.</t>
  </si>
  <si>
    <t>• Discordancia ER: IHQ=Negativo (85%) vs MMT(ESR1)=positive (valor=40.22). Requiere revisión.
• Discordancia PR: IHQ=Positivo (15%) vs MMT(PGR)=neg (valor=37.02). Requiere revisión.
• Posible discordancia proliferación: Ki-67 IHQ=10% (bajo) vs MMT(MKI67)=Positive (valor=37.91). Requiere revisión.
• HER2-low sin score IHQ documentado: categoría basada en comentario/texto. Interpretar con cautela.
• MMT muy cercano a cutoff (CRÍTICO): ERBB2 (Δ=0.09). (umbral ≤0.20 Ct) Interpretar con cautela.
• MMT cercano a cutoff: MKI67 (Δ=0.21). (umbral ≤0.50 Ct) Interpretar con cautela.</t>
  </si>
  <si>
    <t>• PR bajo por IHQ: 1% (interpretación dependiente del contexto).
• MMT muy cercano a cutoff (CRÍTICO): ESR1 (Δ=0.17). (umbral ≤0.20 Ct) Interpretar con cautela.
• MMT cercano a cutoff: ERBB2 (Δ=0.45), MKI67 (Δ=0.34). (umbral ≤0.50 Ct) Interpretar con cautela.</t>
  </si>
  <si>
    <t>• Discordancia PR: IHQ=Negativo vs MMT(PGR)=positive (valor=39.49). Requiere revisión.
• MMT muy cercano a cutoff (CRÍTICO): MKI67 (Δ=0.13). (umbral ≤0.20 Ct) Interpretar con cautela.
• ER IHQ positivo pero porcentaje no consta (dato incompleto).</t>
  </si>
  <si>
    <t>• Posible discordancia proliferación: Ki-67 IHQ=30% (alto) vs MMT(MKI67)=negative (valor=35.56). Requiere revisión.
• MMT cercano a cutoff: ESR1 (Δ=0.31), MKI67 (Δ=0.46). (umbral ≤0.50 Ct) Interpretar con cautela.
• ER IHQ positivo pero porcentaje no consta (dato incompleto).</t>
  </si>
  <si>
    <t>• Discordancia PR: IHQ=Positivo (5%) vs MMT(PGR)=negative (valor=37.01). Requiere revisión.
• PR bajo por IHQ: 5% (interpretación dependiente del contexto).
• HER2-low sin score IHQ documentado: categoría basada en comentario/texto. Interpretar con cautela.
• MMT muy cercano a cutoff (CRÍTICO): ESR1 (Δ=0.10). (umbral ≤0.20 Ct) Interpretar con cautela.
• MMT cercano a cutoff: MKI67 (Δ=0.23). (umbral ≤0.50 Ct) Interpretar con cautela.</t>
  </si>
  <si>
    <t>• Discordancia ER: IHQ=Positivo (100%) vs MMT(ESR1)=neg (valor=39.07). Requiere revisión.
• Discordancia PR: IHQ=Negativo (2%) vs MMT(PGR)=Positive (valor=38.47). Requiere revisión.
• HER2-low sin score IHQ documentado: categoría basada en comentario/texto. Interpretar con cautela.
• MMT muy cercano a cutoff (CRÍTICO): MKI67 (Δ=0.16). (umbral ≤0.20 Ct) Interpretar con cautela.</t>
  </si>
  <si>
    <t>• MMT cercano a cutoff: PGR (Δ=0.22), MKI67 (Δ=0.31). (umbral ≤0.50 Ct) Interpretar con cautela.</t>
  </si>
  <si>
    <t>• Discordancia ER: IHQ=Positivo (100%) vs MMT(ESR1)=neg (valor=36.09). Requiere revisión.
• Discordancia PR: IHQ=Negativo (90%) vs MMT(PGR)=POSITIVE (valor=40.24). Requiere revisión.
• HER2-low sin score IHQ documentado: categoría basada en comentario/texto. Interpretar con cautela.
• MMT cercano a cutoff: ERBB2 (Δ=0.41), MKI67 (Δ=0.29). (umbral ≤0.50 Ct) Interpretar con cautela.</t>
  </si>
  <si>
    <t>• Discordancia PR: IHQ=Negativo (15%) vs MMT(PGR)=POSITIVE (valor=38.56). Requiere revisión.
• HER2-low sin score IHQ documentado: categoría basada en comentario/texto. Interpretar con cautela.
• MMT muy cercano a cutoff (CRÍTICO): MKI67 (Δ=0.10). (umbral ≤0.20 Ct) Interpretar con cautela.</t>
  </si>
  <si>
    <t>• Discordancia PR: IHQ=Negativo (1%) vs MMT(PGR)=Positive (valor=39.42). Requiere revisión.
• MMT cercano a cutoff: ERBB2 (Δ=0.25). (umbral ≤0.50 Ct) Interpretar con cautela.</t>
  </si>
  <si>
    <t>• Discordancia PR: IHQ=Negativo vs MMT(PGR)=positive (valor=39.59). Requiere revisión.
• HER2-low sin score IHQ documentado: categoría basada en comentario/texto. Interpretar con cautela.
• MMT cercano a cutoff: MKI67 (Δ=0.24). (umbral ≤0.50 Ct) Interpretar con cautela.</t>
  </si>
  <si>
    <t>• Discordancia ER: IHQ=Negativo vs MMT(ESR1)=positive (valor=40.52). Requiere revisión.
• Discordancia PR: IHQ=Negativo vs MMT(PGR)=Positive (valor=40.25). Requiere revisión.
• MMT muy cercano a cutoff (CRÍTICO): MKI67 (Δ=0.05). (umbral ≤0.20 Ct) Interpretar con cautela.
• MMT cercano a cutoff: ERBB2 (Δ=0.38). (umbral ≤0.50 Ct) Interpretar con cautela.</t>
  </si>
  <si>
    <t>• Discordancia PR: IHQ=Positivo (5%) vs MMT(PGR)=negative (valor=36.96). Requiere revisión.
• PR bajo por IHQ: 5% (interpretación dependiente del contexto).
• HER2-low sin score IHQ documentado: categoría basada en comentario/texto. Interpretar con cautela.
• MMT muy cercano a cutoff (CRÍTICO): MKI67 (Δ=0.16). (umbral ≤0.20 Ct) Interpretar con cautela.</t>
  </si>
  <si>
    <t>• Discordancia PR: IHQ=Negativo (2%) vs MMT(PGR)=Positive (valor=40.16). Requiere revisión.
• Posible discordancia proliferación: Ki-67 IHQ=30% (alto) vs MMT(MKI67)=negative (valor=35.4). Requiere revisión.
• HER2-low sin score IHQ documentado: categoría basada en comentario/texto. Interpretar con cautela.
• MMT cercano a cutoff: MKI67 (Δ=0.30). (umbral ≤0.50 Ct) Interpretar con cautela.</t>
  </si>
  <si>
    <t>• Discordancia ER: IHQ=Positivo (100%) vs MMT(ESR1)=neg (valor=37.61). Requiere revisión.
• Posible discordancia proliferación: Ki-67 IHQ=30% (alto) vs MMT(MKI67)=negative (valor=35.93). Requiere revisión.
• HER2-low sin score IHQ documentado: categoría basada en comentario/texto. Interpretar con cautela.
• MMT cercano a cutoff: MKI67 (Δ=0.37). (umbral ≤0.50 Ct) Interpretar con cautela.</t>
  </si>
  <si>
    <t>• Discordancia ER: IHQ=Negativo (100%) vs MMT(ESR1)=POSITIVE (valor=38.43). Requiere revisión.
• Discordancia PR: IHQ=Positivo (90%) vs MMT(PGR)=negative (valor=39.17). Requiere revisión.
• HER2-low sin score IHQ documentado: categoría basada en comentario/texto. Interpretar con cautela.
• MMT cercano a cutoff: ESR1 (Δ=0.23), MKI67 (Δ=0.31). (umbral ≤0.50 Ct) Interpretar con cautela.</t>
  </si>
  <si>
    <t>• Discordancia ER: IHQ=Negativo (85%) vs MMT(ESR1)=positive (valor=40.71). Requiere revisión.
• Posible discordancia proliferación: Ki-67 IHQ=50% (alto) vs MMT(MKI67)=neg (valor=34.63). Requiere revisión.
• HER2-low sin score IHQ documentado: categoría basada en comentario/texto. Interpretar con cautela.
• MMT cercano a cutoff: MKI67 (Δ=0.47). (umbral ≤0.50 Ct) Interpretar con cautela.</t>
  </si>
  <si>
    <t>• Discordancia ER: IHQ=Positivo (100%) vs MMT(ESR1)=negative (valor=37.92). Requiere revisión.
• PR bajo por IHQ: 1% (interpretación dependiente del contexto).
• MMT cercano a cutoff: ESR1 (Δ=0.28), MKI67 (Δ=0.32). (umbral ≤0.50 Ct) Interpretar con cautela.</t>
  </si>
  <si>
    <t>• Discordancia ER: IHQ=Positivo vs MMT(ESR1)=negative (valor=36.17). Requiere revisión.
• Discordancia PR: IHQ=Negativo vs MMT(PGR)=Positive (valor=40.31). Requiere revisión.
• MMT muy cercano a cutoff (CRÍTICO): MKI67 (Δ=0.06). (umbral ≤0.20 Ct) Interpretar con cautela.
• ER IHQ positivo pero porcentaje no consta (dato incompleto).</t>
  </si>
  <si>
    <t>• Discordancia ER: IHQ=Positivo vs MMT(ESR1)=negative (valor=39.2). Requiere revisión.
• MMT muy cercano a cutoff (CRÍTICO): ERBB2 (Δ=0.08), MKI67 (Δ=0.10). (umbral ≤0.20 Ct) Interpretar con cautela.
• ER IHQ positivo pero porcentaje no consta (dato incompleto).</t>
  </si>
  <si>
    <t>• Discordancia ER: IHQ=Positivo (100%) vs MMT(ESR1)=Negative (valor=37.86). Requiere revisión.
• PR bajo por IHQ: 5% (interpretación dependiente del contexto).
• Posible discordancia proliferación: Ki-67 IHQ=30% (alto) vs MMT(MKI67)=negative (valor=35.42). Requiere revisión.
• HER2-low sin score IHQ documentado: categoría basada en comentario/texto. Interpretar con cautela.
• MMT cercano a cutoff: ESR1 (Δ=0.34), MKI67 (Δ=0.32). (umbral ≤0.50 Ct) Interpretar con cautela.</t>
  </si>
  <si>
    <t>• Discordancia PR: IHQ=Negativo (2%) vs MMT(PGR)=Positive (valor=40.6). Requiere revisión.
• Posible discordancia proliferación: Ki-67 IHQ=4% (bajo) vs MMT(MKI67)=Positive (valor=36.7). Requiere revisión.
• HER2-low sin score IHQ documentado: categoría basada en comentario/texto. Interpretar con cautela.
• MMT cercano a cutoff: ERBB2 (Δ=0.22), MKI67 (Δ=0.30). (umbral ≤0.50 Ct) Interpretar con cautela.</t>
  </si>
  <si>
    <t>• Discordancia ER: IHQ=Positivo (100%) vs MMT(ESR1)=Negative (valor=37.5). Requiere revisión.
• Discordancia PR: IHQ=Negativo (100%) vs MMT(PGR)=positive (valor=39.62). Requiere revisión.
• HER2-low sin score IHQ documentado: categoría basada en comentario/texto. Interpretar con cautela.
• MMT cercano a cutoff: ERBB2 (Δ=0.44), ESR1 (Δ=0.40), MKI67 (Δ=0.43). (umbral ≤0.50 Ct) Interpretar con cautela.</t>
  </si>
  <si>
    <t>• Discordancia PR: IHQ=Positivo (90%) vs MMT(PGR)=neg (valor=36.33). Requiere revisión.
• HER2-low sin score IHQ documentado: categoría basada en comentario/texto. Interpretar con cautela.
• MMT muy cercano a cutoff (CRÍTICO): PGR (Δ=0.03), MKI67 (Δ=0.16). (umbral ≤0.20 Ct) Interpretar con cautela.</t>
  </si>
  <si>
    <t>• HER2-low sin score IHQ documentado: categoría basada en comentario/texto. Interpretar con cautela.
• MMT muy cercano a cutoff (CRÍTICO): ESR1 (Δ=0.19), MKI67 (Δ=0.05). (umbral ≤0.20 Ct) Interpretar con cautela.</t>
  </si>
  <si>
    <t>• Discordancia ER: IHQ=Negativo (100%) vs MMT(ESR1)=POSITIVE (valor=39.63). Requiere revisión.
• MMT cercano a cutoff: MKI67 (Δ=0.33). (umbral ≤0.50 Ct) Interpretar con cautela.</t>
  </si>
  <si>
    <t>• Discordancia ER: IHQ=Positivo vs MMT(ESR1)=neg (valor=38.16). Requiere revisión.
• Discordancia PR: IHQ=Negativo vs MMT(PGR)=positive (valor=38.39). Requiere revisión.
• HER2-low sin score IHQ documentado: categoría basada en comentario/texto. Interpretar con cautela.
• MMT muy cercano a cutoff (CRÍTICO): ESR1 (Δ=0.04). (umbral ≤0.20 Ct) Interpretar con cautela.
• ER IHQ positivo pero porcentaje no consta (dato incompleto).</t>
  </si>
  <si>
    <t>• Discordancia PR: IHQ=Negativo vs MMT(PGR)=Positive (valor=38.38). Requiere revisión.
• HER2-low sin score IHQ documentado: categoría basada en comentario/texto. Interpretar con cautela.
• MMT cercano a cutoff: ESR1 (Δ=0.21), MKI67 (Δ=0.34). (umbral ≤0.50 Ct) Interpretar con cautela.</t>
  </si>
  <si>
    <t>• Discordancia ER: IHQ=Positivo (100%) vs MMT(ESR1)=negative (valor=36.32). Requiere revisión.
• Discordancia PR: IHQ=Positivo (5%) vs MMT(PGR)=negative (valor=39.07). Requiere revisión.
• PR bajo por IHQ: 5% (interpretación dependiente del contexto).
• Posible discordancia proliferación: Ki-67 IHQ=50% (alto) vs MMT(MKI67)=neg (valor=35.46). Requiere revisión.
• HER2-low sin score IHQ documentado: categoría basada en comentario/texto. Interpretar con cautela.
• MMT cercano a cutoff: MKI67 (Δ=0.36). (umbral ≤0.50 Ct) Interpretar con cautela.</t>
  </si>
  <si>
    <t>• Discordancia ER: IHQ=Negativo (100%) vs MMT(ESR1)=POSITIVE (valor=38.03). Requiere revisión.
• HER2-low sin score IHQ documentado: categoría basada en comentario/texto. Interpretar con cautela.
• MMT muy cercano a cutoff (CRÍTICO): ESR1 (Δ=0.17), MKI67 (Δ=0.11). (umbral ≤0.20 Ct) Interpretar con cautela.</t>
  </si>
  <si>
    <t>• HER2-low sin score IHQ documentado: categoría basada en comentario/texto. Interpretar con cautela.
• MMT cercano a cutoff: ERBB2 (Δ=0.34), MKI67 (Δ=0.29). (umbral ≤0.50 Ct) Interpretar con cautela.</t>
  </si>
  <si>
    <t>• Discordancia PR: IHQ=Negativo (90%) vs MMT(PGR)=POSITIVE (valor=40.94). Requiere revisión.
• HER2-low sin score IHQ documentado: categoría basada en comentario/texto. Interpretar con cautela.
• MMT cercano a cutoff: MKI67 (Δ=0.21). (umbral ≤0.50 Ct) Interpretar con cautela.</t>
  </si>
  <si>
    <t>• Discordancia PR: IHQ=Positivo (15%) vs MMT(PGR)=Negative (valor=39.33). Requiere revisión.</t>
  </si>
  <si>
    <t>• Discordancia PR: IHQ=Positivo (1%) vs MMT(PGR)=neg (valor=38.98). Requiere revisión.
• PR bajo por IHQ: 1% (interpretación dependiente del contexto).
• MMT muy cercano a cutoff (CRÍTICO): MKI67 (Δ=0.18). (umbral ≤0.20 Ct) Interpretar con cautela.</t>
  </si>
  <si>
    <t>• Discordancia ER: IHQ=Positivo vs MMT(ESR1)=Negative (valor=38.08). Requiere revisión.
• MMT muy cercano a cutoff (CRÍTICO): ESR1 (Δ=0.12), MKI67 (Δ=0.09). (umbral ≤0.20 Ct) Interpretar con cautela.
• ER IHQ positivo pero porcentaje no consta (dato incompleto).</t>
  </si>
  <si>
    <t>• Discordancia ER: IHQ=Positivo vs MMT(ESR1)=neg (valor=37.29). Requiere revisión.
• Discordancia PR: IHQ=Negativo vs MMT(PGR)=POSITIVE (valor=39.79). Requiere revisión.
• MMT muy cercano a cutoff (CRÍTICO): ESR1 (Δ=0.19). (umbral ≤0.20 Ct) Interpretar con cautela.
• MMT cercano a cutoff: MKI67 (Δ=0.36). (umbral ≤0.50 Ct) Interpretar con cautela.
• ER IHQ positivo pero porcentaje no consta (dato incompleto).</t>
  </si>
  <si>
    <t>• PR bajo por IHQ: 5% (interpretación dependiente del contexto).
• Posible discordancia proliferación: Ki-67 IHQ=60% (alto) vs MMT(MKI67)=Negative (valor=35.54). Requiere revisión.
• HER2-low sin score IHQ documentado: categoría basada en comentario/texto. Interpretar con cautela.
• MMT cercano a cutoff: MKI67 (Δ=0.44). (umbral ≤0.50 Ct) Interpretar con cautela.</t>
  </si>
  <si>
    <t>• Discordancia ER: IHQ=Positivo (100%) vs MMT(ESR1)=negative (valor=36.8). Requiere revisión.
• Discordancia PR: IHQ=Positivo (2%) vs MMT(PGR)=negative (valor=36.57). Requiere revisión.
• PR bajo por IHQ: 2% (interpretación dependiente del contexto).
• Posible discordancia proliferación: Ki-67 IHQ=10% (bajo) vs MMT(MKI67)=Positive (valor=37.25). Requiere revisión.
• HER2-low sin score IHQ documentado: categoría basada en comentario/texto. Interpretar con cautela.
• MMT cercano a cutoff: ESR1 (Δ=0.30), PGR (Δ=0.27), MKI67 (Δ=0.25). (umbral ≤0.50 Ct) Interpretar con cautela.</t>
  </si>
  <si>
    <t>• Discordancia PR: IHQ=Positivo (100%) vs MMT(PGR)=Negative (valor=38.79). Requiere revisión.
• HER2-low sin score IHQ documentado: categoría basada en comentario/texto. Interpretar con cautela.
• MMT muy cercano a cutoff (CRÍTICO): MKI67 (Δ=0.08). (umbral ≤0.20 Ct) Interpretar con cautela.</t>
  </si>
  <si>
    <t>• Discordancia ER: IHQ=Positivo (100%) vs MMT(ESR1)=negative (valor=36.78). Requiere revisión.
• HER2-low sin score IHQ documentado: categoría basada en comentario/texto. Interpretar con cautela.
• MMT cercano a cutoff: ESR1 (Δ=0.32), MKI67 (Δ=0.50). (umbral ≤0.50 Ct) Interpretar con cautela.</t>
  </si>
  <si>
    <t>• Posible discordancia proliferación: Ki-67 IHQ=50% (alto) vs MMT(MKI67)=negative (valor=35.83). Requiere revisión.
• MMT cercano a cutoff: ERBB2 (Δ=0.41), MKI67 (Δ=0.47). (umbral ≤0.50 Ct) Interpretar con cautela.</t>
  </si>
  <si>
    <t>• Discordancia ER: IHQ=Positivo (100%) vs MMT(ESR1)=Negative (valor=37.99). Requiere revisión.
• PR bajo por IHQ: 1% (interpretación dependiente del contexto).
• MMT cercano a cutoff: ESR1 (Δ=0.21), MKI67 (Δ=0.30). (umbral ≤0.50 Ct) Interpretar con cautela.</t>
  </si>
  <si>
    <t>• Discordancia PR: IHQ=Negativo vs MMT(PGR)=positive (valor=39.73). Requiere revisión.
• MMT cercano a cutoff: ERBB2 (Δ=0.38), MKI67 (Δ=0.32). (umbral ≤0.50 Ct) Interpretar con cautela.
• ER IHQ positivo pero porcentaje no consta (dato incompleto).</t>
  </si>
  <si>
    <t>• Discordancia ER: IHQ=Negativo vs MMT(ESR1)=positive (valor=40.87). Requiere revisión.
• Discordancia PR: IHQ=Negativo vs MMT(PGR)=positive (valor=39.57). Requiere revisión.
• HER2-low sin score IHQ documentado: categoría basada en comentario/texto. Interpretar con cautela.
• MMT muy cercano a cutoff (CRÍTICO): MKI67 (Δ=0.03). (umbral ≤0.20 Ct) Interpretar con cautela.</t>
  </si>
  <si>
    <t>• Discordancia ER: IHQ=Negativo (100%) vs MMT(ESR1)=POSITIVE (valor=40.31). Requiere revisión.
• PR bajo por IHQ: 5% (interpretación dependiente del contexto).
• Posible discordancia proliferación: Ki-67 IHQ=10% (bajo) vs MMT(MKI67)=positive (valor=37.71). Requiere revisión.
• HER2-low sin score IHQ documentado: categoría basada en comentario/texto. Interpretar con cautela.
• MMT muy cercano a cutoff (CRÍTICO): MKI67 (Δ=0.01). (umbral ≤0.20 Ct) Interpretar con cautela.</t>
  </si>
  <si>
    <t>• HER2-low sin score IHQ documentado: categoría basada en comentario/texto. Interpretar con cautela.
• MMT muy cercano a cutoff (CRÍTICO): PGR (Δ=0.17). (umbral ≤0.20 Ct) Interpretar con cautela.
• MMT cercano a cutoff: ERBB2 (Δ=0.30), ESR1 (Δ=0.41), MKI67 (Δ=0.34). (umbral ≤0.50 Ct) Interpretar con cautela.</t>
  </si>
  <si>
    <t>• MMT muy cercano a cutoff (CRÍTICO): MKI67 (Δ=0.05). (umbral ≤0.20 Ct) Interpretar con cautela.</t>
  </si>
  <si>
    <t>• Discordancia ER: IHQ=Positivo (100%) vs MMT(ESR1)=neg (valor=37.11). Requiere revisión.
• Posible discordancia proliferación: Ki-67 IHQ=40% (alto) vs MMT(MKI67)=negative (valor=36.14). Requiere revisión.
• HER2-low sin score IHQ documentado: categoría basada en comentario/texto. Interpretar con cautela.
• MMT muy cercano a cutoff (CRÍTICO): ESR1 (Δ=0.01), MKI67 (Δ=0.16). (umbral ≤0.20 Ct) Interpretar con cautela.</t>
  </si>
  <si>
    <t>• Discordancia ER: IHQ=Negativo (85%) vs MMT(ESR1)=POSITIVE (valor=40.82). Requiere revisión.
• MMT cercano a cutoff: MKI67 (Δ=0.22). (umbral ≤0.50 Ct) Interpretar con cautela.</t>
  </si>
  <si>
    <t>• Discordancia ER: IHQ=Negativo (100%) vs MMT(ESR1)=POSITIVE (valor=39.41). Requiere revisión.
• Discordancia PR: IHQ=Negativo (1%) vs MMT(PGR)=positive (valor=39.36). Requiere revisión.
• MMT muy cercano a cutoff (CRÍTICO): MKI67 (Δ=0.01). (umbral ≤0.20 Ct) Interpretar con cautela.</t>
  </si>
  <si>
    <t>• Discordancia PR: IHQ=Negativo vs MMT(PGR)=positive (valor=38.87). Requiere revisión.
• HER2-low sin score IHQ documentado: categoría basada en comentario/texto. Interpretar con cautela.
• MMT cercano a cutoff: MKI67 (Δ=0.22). (umbral ≤0.50 Ct) Interpretar con cautela.</t>
  </si>
  <si>
    <t>• Posible discordancia proliferación: Ki-67 IHQ=40% (alto) vs MMT(MKI67)=Negative (valor=35.59). Requiere revisión.
• MMT cercano a cutoff: MKI67 (Δ=0.49). (umbral ≤0.50 Ct) Interpretar con cautela.
• ER IHQ positivo pero porcentaje no consta (dato incompleto).</t>
  </si>
  <si>
    <t>• HER2-low sin score IHQ documentado: categoría basada en comentario/texto. Interpretar con cautela.</t>
  </si>
  <si>
    <t>• HER2-low sin score IHQ documentado: categoría basada en comentario/texto. Interpretar con cautela.
• MMT muy cercano a cutoff (CRÍTICO): MKI67 (Δ=0.12). (umbral ≤0.20 Ct) Interpretar con cautela.</t>
  </si>
  <si>
    <t>• MMT cercano a cutoff: PGR (Δ=0.39). (umbral ≤0.50 Ct) Interpretar con cautela.</t>
  </si>
  <si>
    <t>• MMT muy cercano a cutoff (CRÍTICO): ERBB2 (Δ=0.14), PGR (Δ=0.03). (umbral ≤0.20 Ct) Interpretar con cautela.</t>
  </si>
  <si>
    <t>• HER2-low sin score IHQ documentado: categoría basada en comentario/texto. Interpretar con cautela.
• MMT muy cercano a cutoff (CRÍTICO): ERBB2 (Δ=0.09). (umbral ≤0.20 Ct) Interpretar con cautela.</t>
  </si>
  <si>
    <t>• HER2-low sin score IHQ documentado: categoría basada en comentario/texto. Interpretar con cautela.
• MMT cercano a cutoff: MKI67 (Δ=0.29). (umbral ≤0.50 Ct) Interpretar con cautela.</t>
  </si>
  <si>
    <t>• Discordancia PR: IHQ=Negativo vs MMT(PGR)=posi (valor=38.86). Requiere revisión.</t>
  </si>
  <si>
    <t>• HER2-low sin score IHQ documentado: categoría basada en comentario/texto. Interpretar con cautela.
• MMT muy cercano a cutoff (CRÍTICO): ERBB2 (Δ=0.14). (umbral ≤0.20 Ct) Interpretar con cautela.</t>
  </si>
  <si>
    <t>• MMT muy cercano a cutoff (CRÍTICO): PGR (Δ=0.15). (umbral ≤0.20 Ct) Interpretar con cautela.</t>
  </si>
  <si>
    <t>• MMT cercano a cutoff: MKI67 (Δ=0.35). (umbral ≤0.50 Ct) Interpretar con cautela.</t>
  </si>
  <si>
    <t>• HER2-low sin score IHQ documentado: categoría basada en comentario/texto. Interpretar con cautela.
• MMT muy cercano a cutoff (CRÍTICO): ERBB2 (Δ=0.08). (umbral ≤0.20 Ct) Interpretar con cautela.</t>
  </si>
  <si>
    <t>• MMT muy cercano a cutoff (CRÍTICO): MKI67 (Δ=0.06). (umbral ≤0.20 Ct) Interpretar con cautela.</t>
  </si>
  <si>
    <t>• MMT cercano a cutoff: MKI67 (Δ=0.27). (umbral ≤0.50 Ct) Interpretar con cautela.</t>
  </si>
  <si>
    <t>• Discordancia PR: IHQ=Negativo vs MMT(PGR)=posi (valor=38.33). Requiere revisión.</t>
  </si>
  <si>
    <t>• HER2-low sin score IHQ documentado: categoría basada en comentario/texto. Interpretar con cautela.
• MMT muy cercano a cutoff (CRÍTICO): MKI67 (Δ=0.06). (umbral ≤0.20 Ct) Interpretar con cautela.</t>
  </si>
  <si>
    <t>• HER2-low sin score IHQ documentado: categoría basada en comentario/texto. Interpretar con cautela.
• MMT muy cercano a cutoff (CRÍTICO): ERBB2 (Δ=0.13), MKI67 (Δ=0.01). (umbral ≤0.20 Ct) Interpretar con cautela.</t>
  </si>
  <si>
    <t>• HER2-low sin score IHQ documentado: categoría basada en comentario/texto. Interpretar con cautela.
• MMT muy cercano a cutoff (CRÍTICO): ERBB2 (Δ=0.19). (umbral ≤0.20 Ct) Interpretar con cautela.</t>
  </si>
  <si>
    <t>• MMT muy cercano a cutoff (CRÍTICO): ESR1 (Δ=0.19). (umbral ≤0.20 Ct) Interpretar con cautela.</t>
  </si>
  <si>
    <t>• MMT cercano a cutoff: MKI67 (Δ=0.47). (umbral ≤0.50 Ct) Interpretar con cautela.</t>
  </si>
  <si>
    <t>• MMT cercano a cutoff: PGR (Δ=0.32). (umbral ≤0.50 Ct) Interpretar con cautela.</t>
  </si>
  <si>
    <t>• MMT cercano a cutoff: MKI67 (Δ=0.39). (umbral ≤0.50 Ct) Interpretar con cautela.</t>
  </si>
  <si>
    <t>• MMT muy cercano a cutoff (CRÍTICO): ERBB2 (Δ=0.08). (umbral ≤0.20 Ct) Interpretar con cautela.</t>
  </si>
  <si>
    <t>• HER2-low sin score IHQ documentado: categoría basada en comentario/texto. Interpretar con cautela.
• MMT cercano a cutoff: ERBB2 (Δ=0.40). (umbral ≤0.50 Ct) Interpretar con cautela.</t>
  </si>
  <si>
    <t>• MMT muy cercano a cutoff (CRÍTICO): MKI67 (Δ=0.10). (umbral ≤0.20 Ct) Interpretar con cautela.</t>
  </si>
  <si>
    <t>• MMT muy cercano a cutoff (CRÍTICO): MKI67 (Δ=0.09). (umbral ≤0.20 Ct) Interpretar con cautela.</t>
  </si>
  <si>
    <t>• MMT cercano a cutoff: ERBB2 (Δ=0.39), MKI67 (Δ=0.33). (umbral ≤0.50 Ct) Interpretar con cautela.</t>
  </si>
  <si>
    <t>• HER2-low sin score IHQ documentado: categoría basada en comentario/texto. Interpretar con cautela.
• MMT cercano a cutoff: MKI67 (Δ=0.37). (umbral ≤0.50 Ct) Interpretar con cautela.</t>
  </si>
  <si>
    <t>• MMT muy cercano a cutoff (CRÍTICO): ERBB2 (Δ=0.18), MKI67 (Δ=0.11). (umbral ≤0.20 Ct) Interpretar con cautela.</t>
  </si>
  <si>
    <t>• HER2-low sin score IHQ documentado: categoría basada en comentario/texto. Interpretar con cautela.
• MMT muy cercano a cutoff (CRÍTICO): ESR1 (Δ=0.20). (umbral ≤0.20 Ct) Interpretar con cautela.</t>
  </si>
  <si>
    <t>• MMT muy cercano a cutoff (CRÍTICO): ERBB2 (Δ=0.06). (umbral ≤0.20 Ct) Interpretar con cautela.</t>
  </si>
  <si>
    <t>• MMT cercano a cutoff: ESR1 (Δ=0.49). (umbral ≤0.50 Ct) Interpretar con cautela.</t>
  </si>
  <si>
    <t>• HER2-low sin score IHQ documentado: categoría basada en comentario/texto. Interpretar con cautela.
• MMT muy cercano a cutoff (CRÍTICO): ERBB2 (Δ=0.05). (umbral ≤0.20 Ct) Interpretar con cautela.</t>
  </si>
  <si>
    <t>• MMT cercano a cutoff: ERBB2 (Δ=0.28), PGR (Δ=0.46), MKI67 (Δ=0.28). (umbral ≤0.50 Ct) Interpretar con cautela.</t>
  </si>
  <si>
    <t>• MMT cercano a cutoff: ESR1 (Δ=0.46), MKI67 (Δ=0.44). (umbral ≤0.50 Ct) Interpretar con cautela.</t>
  </si>
  <si>
    <t>• Discordancia PR: IHQ=Negativo vs MMT(PGR)=posi (valor=40.6). Requiere revisión.</t>
  </si>
  <si>
    <t>• MMT cercano a cutoff: ERBB2 (Δ=0.39). (umbral ≤0.50 Ct) Interpretar con cautela.</t>
  </si>
  <si>
    <t>• HER2-low sin score IHQ documentado: categoría basada en comentario/texto. Interpretar con cautela.
• MMT muy cercano a cutoff (CRÍTICO): MKI67 (Δ=0.08). (umbral ≤0.20 Ct) Interpretar con cautela.</t>
  </si>
  <si>
    <t>• Discordancia ER: IHQ=Negativo (100%) vs MMT(ESR1)=posi (valor=39.34). Requiere revisión.
• HER2-low sin score IHQ documentado: categoría basada en comentario/texto. Interpretar con cautela.</t>
  </si>
  <si>
    <t>• MMT cercano a cutoff: ERBB2 (Δ=0.26). (umbral ≤0.50 Ct) Interpretar con cautela.</t>
  </si>
  <si>
    <t>• HER2-low sin score IHQ documentado: categoría basada en comentario/texto. Interpretar con cautela.
• MMT muy cercano a cutoff (CRÍTICO): ERBB2 (Δ=0.11). (umbral ≤0.20 Ct) Interpretar con cautela.
• MMT cercano a cutoff: ESR1 (Δ=0.40). (umbral ≤0.50 Ct) Interpretar con cautela.</t>
  </si>
  <si>
    <t>• HER2-low sin score IHQ documentado: categoría basada en comentario/texto. Interpretar con cautela.
• MMT muy cercano a cutoff (CRÍTICO): ESR1 (Δ=0.02). (umbral ≤0.20 Ct) Interpretar con cautela.</t>
  </si>
  <si>
    <t>SI</t>
  </si>
  <si>
    <t>NO</t>
  </si>
  <si>
    <t>Dr. Álvaro Pérez</t>
  </si>
  <si>
    <t>Dra. Laura Ortega</t>
  </si>
  <si>
    <t>Dra. Laura Pérez</t>
  </si>
  <si>
    <t>Dra. Ana Torres</t>
  </si>
  <si>
    <t>Dra. Marta Torres</t>
  </si>
  <si>
    <t>Dr. Sergio Díaz</t>
  </si>
  <si>
    <t>Dr. Álvaro Díaz</t>
  </si>
  <si>
    <t>Dr. Álvaro García</t>
  </si>
  <si>
    <t>Dr. Javier Gómez</t>
  </si>
  <si>
    <t>Dr. Javier Díaz</t>
  </si>
  <si>
    <t>Dr. Sergio Navarro</t>
  </si>
  <si>
    <t>Dr. Hugo Pérez</t>
  </si>
  <si>
    <t>Dr. Diego Gómez</t>
  </si>
  <si>
    <t>Dr. David Ruiz</t>
  </si>
  <si>
    <t>Dra. María Ortega</t>
  </si>
  <si>
    <t>Dra. Lucía Pérez</t>
  </si>
  <si>
    <t>Dra. Paula García</t>
  </si>
  <si>
    <t>Dra. Irene Vega</t>
  </si>
  <si>
    <t>Dra. Laura López</t>
  </si>
  <si>
    <t>Dra. Claudia Díaz</t>
  </si>
  <si>
    <t>Dra. Elena Martínez</t>
  </si>
  <si>
    <t>Dra. Elena Pérez</t>
  </si>
  <si>
    <t>Dr. Raúl Romero</t>
  </si>
  <si>
    <t>Dr. Javier Vega</t>
  </si>
  <si>
    <t>Dr. Álvaro Romero</t>
  </si>
  <si>
    <t>Dr. Carlos Vega</t>
  </si>
  <si>
    <t>Dra. María Vega</t>
  </si>
  <si>
    <t>Dra. Claudia Ortega</t>
  </si>
  <si>
    <t>Dra. Marta Hernández</t>
  </si>
  <si>
    <t>Dr. Javier Navarro</t>
  </si>
  <si>
    <t>Dr. Álvaro Vega</t>
  </si>
  <si>
    <t>Dr. Hugo Ortega</t>
  </si>
  <si>
    <t>Dr. Javier Romero</t>
  </si>
  <si>
    <t>Dr. Javier Sánchez</t>
  </si>
  <si>
    <t>Dra. Lucía Gómez</t>
  </si>
  <si>
    <t>Dra. Paula Díaz</t>
  </si>
  <si>
    <t>Dr. Javier García</t>
  </si>
  <si>
    <t>Dra. Paula Navarro</t>
  </si>
  <si>
    <t>Dr. Hugo García</t>
  </si>
  <si>
    <t>Dra. Paula Gómez</t>
  </si>
  <si>
    <t>Dra. Marta Sánchez</t>
  </si>
  <si>
    <t>Dra. Irene Ortega</t>
  </si>
  <si>
    <t>Dr. Sergio Sánchez</t>
  </si>
  <si>
    <t>Dra. Ana Ortega</t>
  </si>
  <si>
    <t>Dra. Claudia López</t>
  </si>
  <si>
    <t>Dra. Marta García</t>
  </si>
  <si>
    <t>Dr. Sergio Ruiz</t>
  </si>
  <si>
    <t>Dra. Ana Fernández</t>
  </si>
  <si>
    <t>Dr. Javier López</t>
  </si>
  <si>
    <t>Dr. Hugo Torres</t>
  </si>
  <si>
    <t>Dr. Álvaro Ruiz</t>
  </si>
  <si>
    <t>Dr. Carlos Martínez</t>
  </si>
  <si>
    <t>Dr. Sergio López</t>
  </si>
  <si>
    <t>Dra. Marta Ortega</t>
  </si>
  <si>
    <t>Dra. Elena Hernández</t>
  </si>
  <si>
    <t>Dr. Álvaro Sánchez</t>
  </si>
  <si>
    <t>Dra. Laura Fernández</t>
  </si>
  <si>
    <t>Dr. Javier Ortega</t>
  </si>
  <si>
    <t>Dra. Elena Vega</t>
  </si>
  <si>
    <t>Dr. Pablo Sánchez</t>
  </si>
  <si>
    <t>Dr. Pablo Ortega</t>
  </si>
  <si>
    <t>Dra. María Navarro</t>
  </si>
  <si>
    <t>Dra. Marta Vega</t>
  </si>
  <si>
    <t>Dr. Pablo Pérez</t>
  </si>
  <si>
    <t>Dr. Diego Díaz</t>
  </si>
  <si>
    <t>Dr. Sergio Ortega</t>
  </si>
  <si>
    <t>Dr. Hugo Navarro</t>
  </si>
  <si>
    <t>Dra. Paula Vega</t>
  </si>
  <si>
    <t>Dr. Raúl Gómez</t>
  </si>
  <si>
    <t>Dr. Carlos López</t>
  </si>
  <si>
    <t>Dra. María Martínez</t>
  </si>
  <si>
    <t>Dra. Lucía Díaz</t>
  </si>
  <si>
    <t>Dr. Raúl Vega</t>
  </si>
  <si>
    <t>Dr. Pablo Fernández</t>
  </si>
  <si>
    <t>Dr. Javier Torres</t>
  </si>
  <si>
    <t>Dr. Pablo Gómez</t>
  </si>
  <si>
    <t>Dra. María López</t>
  </si>
  <si>
    <t>Dr. Pablo López</t>
  </si>
  <si>
    <t>Dr. Raúl Ortega</t>
  </si>
  <si>
    <t>Dr. David Díaz</t>
  </si>
  <si>
    <t>Dra. Elena Gómez</t>
  </si>
  <si>
    <t>Dra. Irene Torres</t>
  </si>
  <si>
    <t>Dra. Ana López</t>
  </si>
  <si>
    <t>Dra. Irene Navarro</t>
  </si>
  <si>
    <t>Dra. Paula Sánchez</t>
  </si>
  <si>
    <t>Dr. Sergio Vega</t>
  </si>
  <si>
    <t>Dr. Diego Navarro</t>
  </si>
  <si>
    <t>Dr. Carlos García</t>
  </si>
  <si>
    <t>Dra. Ana Díaz</t>
  </si>
  <si>
    <t>Dra. Paula Martínez</t>
  </si>
  <si>
    <t>Dr. Hugo Fernández</t>
  </si>
  <si>
    <t>Dr. Raúl Navarro</t>
  </si>
  <si>
    <t>Dra. Ana Sánchez</t>
  </si>
  <si>
    <t>Dra. Elena Romero</t>
  </si>
  <si>
    <t>Dra. Irene García</t>
  </si>
  <si>
    <t>Dra. María Romero</t>
  </si>
  <si>
    <t>Dra. Elena Navarro</t>
  </si>
  <si>
    <t>Dra. Lucía Martínez</t>
  </si>
  <si>
    <t>Dra. María Hernández</t>
  </si>
  <si>
    <t>Dra. Elena Sánchez</t>
  </si>
  <si>
    <t>Dr. Javier Fernández</t>
  </si>
  <si>
    <t>Dr. David Vega</t>
  </si>
  <si>
    <t>Dra. María Sánchez</t>
  </si>
  <si>
    <t>Dra. Irene Gómez</t>
  </si>
  <si>
    <t>Dr. Diego Vega</t>
  </si>
  <si>
    <t>Dra. Claudia García</t>
  </si>
  <si>
    <t>Dra. Lucía Hernández</t>
  </si>
  <si>
    <t>Dra. Claudia Torres</t>
  </si>
  <si>
    <t>Dr. Raúl Ruiz</t>
  </si>
  <si>
    <t>Dr. Diego Sánchez</t>
  </si>
  <si>
    <t>Dra. María Fernández</t>
  </si>
  <si>
    <t>Dra. Marta Romero</t>
  </si>
  <si>
    <t>Dra. Claudia Martínez</t>
  </si>
  <si>
    <t>Dra. Lucía García</t>
  </si>
  <si>
    <t>Dra. María Díaz</t>
  </si>
  <si>
    <t>Dr. Sergio Pérez</t>
  </si>
  <si>
    <t>Dr. Raúl Sánchez</t>
  </si>
  <si>
    <t>Dr. Raúl Torres</t>
  </si>
  <si>
    <t>Dra. Irene Romero</t>
  </si>
  <si>
    <t>Dr. Diego Ortega</t>
  </si>
  <si>
    <t>Dr. Pablo Torres</t>
  </si>
  <si>
    <t>Dr. Javier Martínez</t>
  </si>
  <si>
    <t>Dr. David Navarro</t>
  </si>
  <si>
    <t>Dr. David Hernández</t>
  </si>
  <si>
    <t>Dra. Paula Fernández</t>
  </si>
  <si>
    <t>Dra. Irene Sánchez</t>
  </si>
  <si>
    <t>Dr. Sergio Torres</t>
  </si>
  <si>
    <t>Dra. Lucía Navarro</t>
  </si>
  <si>
    <t>Dashboard concordancia IHQ vs MammaTyper</t>
  </si>
  <si>
    <t>Resumen del lote</t>
  </si>
  <si>
    <t>Muestras</t>
  </si>
  <si>
    <t>Revisión recomendada</t>
  </si>
  <si>
    <t>Discordancias (ER/PR/HER2/Ki-67)</t>
  </si>
  <si>
    <t>Concordancia por gen</t>
  </si>
  <si>
    <t>Gen</t>
  </si>
  <si>
    <t>ER (ESR1)</t>
  </si>
  <si>
    <t>PR (PGR)</t>
  </si>
  <si>
    <t>HER2 (ERBB2)</t>
  </si>
  <si>
    <t>Ki-67 (MKI67)</t>
  </si>
  <si>
    <t>Proximidad a cutoffs (Δabs)</t>
  </si>
  <si>
    <t>Criterios: crítico ≤0.20 Ct | cercano ≤0.50 Ct</t>
  </si>
  <si>
    <t>Crítico (≤0.20)</t>
  </si>
  <si>
    <t>Cercano (0.20–0.50)</t>
  </si>
  <si>
    <t>Lejos (&gt;0.50)</t>
  </si>
  <si>
    <t>ESR1</t>
  </si>
  <si>
    <t>Top revisión (primeras 15)</t>
  </si>
  <si>
    <t>Estadísticas por biomarcador (lote)</t>
  </si>
  <si>
    <t>Biomarcador</t>
  </si>
  <si>
    <t>TP</t>
  </si>
  <si>
    <t>TN</t>
  </si>
  <si>
    <t>FP</t>
  </si>
  <si>
    <t>FN</t>
  </si>
  <si>
    <t>%Concord</t>
  </si>
  <si>
    <t>Kappa</t>
  </si>
  <si>
    <t>McNemar_p</t>
  </si>
  <si>
    <t>b(IHQ+→MMT-)</t>
  </si>
  <si>
    <t>c(IHQ-→MMT+)</t>
  </si>
  <si>
    <t>Tendencia</t>
  </si>
  <si>
    <t>MMT tiende a -</t>
  </si>
  <si>
    <t>MMT tiende a +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</si>
</sst>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B728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2" fillId="9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4">
    <dxf>
      <fill>
        <patternFill>
          <bgColor rgb="FFD1FAE5"/>
        </patternFill>
      </fill>
    </dxf>
    <dxf>
      <fill>
        <patternFill>
          <bgColor rgb="FFFECACA"/>
        </patternFill>
      </fill>
    </dxf>
    <dxf>
      <fill>
        <patternFill>
          <bgColor rgb="FFE5E7EB"/>
        </patternFill>
      </fill>
    </dxf>
    <dxf>
      <fill>
        <patternFill>
          <bgColor rgb="FFFEF3C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Discordancias por gen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Discordante</c:v>
          </c:tx>
          <c:cat>
            <c:strRef>
              <c:f>Dashboard!$A$11:$A$14</c:f>
              <c:strCache>
                <c:ptCount val="4"/>
                <c:pt idx="0">
                  <c:v>ER (ESR1)</c:v>
                </c:pt>
                <c:pt idx="1">
                  <c:v>PR (PGR)</c:v>
                </c:pt>
                <c:pt idx="2">
                  <c:v>HER2 (ERBB2)</c:v>
                </c:pt>
                <c:pt idx="3">
                  <c:v>Ki-67 (MKI67)</c:v>
                </c:pt>
              </c:strCache>
            </c:strRef>
          </c:cat>
          <c:val>
            <c:numRef>
              <c:f>Dashboard!$C$11:$C$14</c:f>
              <c:numCache>
                <c:formatCode>General</c:formatCode>
                <c:ptCount val="4"/>
                <c:pt idx="0">
                  <c:v>96</c:v>
                </c:pt>
                <c:pt idx="1">
                  <c:v>110</c:v>
                </c:pt>
                <c:pt idx="2">
                  <c:v>53</c:v>
                </c:pt>
                <c:pt idx="3">
                  <c:v>70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Cercanía a cutoffs por gen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Crítico</c:v>
          </c:tx>
          <c:cat>
            <c:strRef>
              <c:f>Dashboard!$A$22:$A$25</c:f>
              <c:strCache>
                <c:ptCount val="4"/>
                <c:pt idx="0">
                  <c:v>ERBB2</c:v>
                </c:pt>
                <c:pt idx="1">
                  <c:v>ESR1</c:v>
                </c:pt>
                <c:pt idx="2">
                  <c:v>PGR</c:v>
                </c:pt>
                <c:pt idx="3">
                  <c:v>MKI67</c:v>
                </c:pt>
              </c:strCache>
            </c:strRef>
          </c:cat>
          <c:val>
            <c:numRef>
              <c:f>Dashboard!$B$22:$B$25</c:f>
              <c:numCache>
                <c:formatCode>General</c:formatCode>
                <c:ptCount val="4"/>
                <c:pt idx="0">
                  <c:v>35</c:v>
                </c:pt>
                <c:pt idx="1">
                  <c:v>42</c:v>
                </c:pt>
                <c:pt idx="2">
                  <c:v>13</c:v>
                </c:pt>
                <c:pt idx="3">
                  <c:v>93</c:v>
                </c:pt>
              </c:numCache>
            </c:numRef>
          </c:val>
        </c:ser>
        <c:ser>
          <c:idx val="1"/>
          <c:order val="1"/>
          <c:tx>
            <c:v>Cercano</c:v>
          </c:tx>
          <c:cat>
            <c:strRef>
              <c:f>Dashboard!$A$22:$A$25</c:f>
              <c:strCache>
                <c:ptCount val="4"/>
                <c:pt idx="0">
                  <c:v>ERBB2</c:v>
                </c:pt>
                <c:pt idx="1">
                  <c:v>ESR1</c:v>
                </c:pt>
                <c:pt idx="2">
                  <c:v>PGR</c:v>
                </c:pt>
                <c:pt idx="3">
                  <c:v>MKI67</c:v>
                </c:pt>
              </c:strCache>
            </c:strRef>
          </c:cat>
          <c:val>
            <c:numRef>
              <c:f>Dashboard!$C$22:$C$25</c:f>
              <c:numCache>
                <c:formatCode>General</c:formatCode>
                <c:ptCount val="4"/>
                <c:pt idx="0">
                  <c:v>34</c:v>
                </c:pt>
                <c:pt idx="1">
                  <c:v>43</c:v>
                </c:pt>
                <c:pt idx="2">
                  <c:v>9</c:v>
                </c:pt>
                <c:pt idx="3">
                  <c:v>109</c:v>
                </c:pt>
              </c:numCache>
            </c:numRef>
          </c:val>
        </c:ser>
        <c:ser>
          <c:idx val="2"/>
          <c:order val="2"/>
          <c:tx>
            <c:v>Lejos</c:v>
          </c:tx>
          <c:cat>
            <c:strRef>
              <c:f>Dashboard!$A$22:$A$25</c:f>
              <c:strCache>
                <c:ptCount val="4"/>
                <c:pt idx="0">
                  <c:v>ERBB2</c:v>
                </c:pt>
                <c:pt idx="1">
                  <c:v>ESR1</c:v>
                </c:pt>
                <c:pt idx="2">
                  <c:v>PGR</c:v>
                </c:pt>
                <c:pt idx="3">
                  <c:v>MKI67</c:v>
                </c:pt>
              </c:strCache>
            </c:strRef>
          </c:cat>
          <c:val>
            <c:numRef>
              <c:f>Dashboard!$D$22:$D$25</c:f>
              <c:numCache>
                <c:formatCode>General</c:formatCode>
                <c:ptCount val="4"/>
                <c:pt idx="0">
                  <c:v>185</c:v>
                </c:pt>
                <c:pt idx="1">
                  <c:v>165</c:v>
                </c:pt>
                <c:pt idx="2">
                  <c:v>219</c:v>
                </c:pt>
                <c:pt idx="3">
                  <c:v>46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9</xdr:col>
      <xdr:colOff>38100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20</xdr:row>
      <xdr:rowOff>0</xdr:rowOff>
    </xdr:from>
    <xdr:to>
      <xdr:col>9</xdr:col>
      <xdr:colOff>38100</xdr:colOff>
      <xdr:row>34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27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2.7109375" customWidth="1"/>
    <col min="3" max="6" width="14.7109375" customWidth="1"/>
    <col min="7" max="8" width="16.7109375" customWidth="1"/>
    <col min="9" max="9" width="22.7109375" customWidth="1"/>
    <col min="10" max="47" width="14.7109375" customWidth="1"/>
    <col min="48" max="48" width="55.7109375" style="1" customWidth="1"/>
    <col min="49" max="49" width="18.7109375" customWidth="1"/>
    <col min="50" max="50" width="14.7109375" customWidth="1"/>
  </cols>
  <sheetData>
    <row r="1" spans="1:5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4" t="s">
        <v>33</v>
      </c>
      <c r="AI1" s="4" t="s">
        <v>34</v>
      </c>
      <c r="AJ1" s="4" t="s">
        <v>35</v>
      </c>
      <c r="AK1" s="5" t="s">
        <v>36</v>
      </c>
      <c r="AL1" s="8" t="s">
        <v>37</v>
      </c>
      <c r="AM1" s="8" t="s">
        <v>38</v>
      </c>
      <c r="AN1" s="8" t="s">
        <v>39</v>
      </c>
      <c r="AO1" s="4" t="s">
        <v>40</v>
      </c>
      <c r="AP1" s="4" t="s">
        <v>41</v>
      </c>
      <c r="AQ1" s="4" t="s">
        <v>42</v>
      </c>
      <c r="AR1" s="5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5" t="s">
        <v>48</v>
      </c>
      <c r="AX1" s="9" t="s">
        <v>49</v>
      </c>
    </row>
    <row r="2" spans="1:50">
      <c r="B2" t="s">
        <v>50</v>
      </c>
      <c r="J2" t="s">
        <v>448</v>
      </c>
      <c r="K2" t="s">
        <v>450</v>
      </c>
      <c r="L2">
        <v>100</v>
      </c>
      <c r="M2">
        <v>39.91</v>
      </c>
      <c r="N2" t="s">
        <v>452</v>
      </c>
      <c r="O2" t="s">
        <v>462</v>
      </c>
      <c r="P2">
        <v>38.2</v>
      </c>
      <c r="Q2">
        <v>1.709999999999994</v>
      </c>
      <c r="R2" t="s">
        <v>465</v>
      </c>
      <c r="S2" t="s">
        <v>448</v>
      </c>
      <c r="T2" t="s">
        <v>468</v>
      </c>
      <c r="U2">
        <v>5</v>
      </c>
      <c r="V2">
        <v>40.53</v>
      </c>
      <c r="W2" t="s">
        <v>452</v>
      </c>
      <c r="X2" t="s">
        <v>470</v>
      </c>
      <c r="Y2">
        <v>36.3</v>
      </c>
      <c r="Z2">
        <v>4.230000000000004</v>
      </c>
      <c r="AA2" t="s">
        <v>465</v>
      </c>
      <c r="AB2" t="s">
        <v>472</v>
      </c>
      <c r="AD2" t="s">
        <v>477</v>
      </c>
      <c r="AF2">
        <v>39.77</v>
      </c>
      <c r="AG2" t="s">
        <v>457</v>
      </c>
      <c r="AH2" t="s">
        <v>497</v>
      </c>
      <c r="AI2">
        <v>40.4</v>
      </c>
      <c r="AJ2">
        <v>0.6299999999999955</v>
      </c>
      <c r="AK2" t="s">
        <v>465</v>
      </c>
      <c r="AL2">
        <v>10</v>
      </c>
      <c r="AM2">
        <v>37.5</v>
      </c>
      <c r="AN2" t="s">
        <v>452</v>
      </c>
      <c r="AO2" t="s">
        <v>508</v>
      </c>
      <c r="AP2">
        <v>37.7</v>
      </c>
      <c r="AQ2">
        <v>0.2000000000000028</v>
      </c>
      <c r="AR2" t="s">
        <v>466</v>
      </c>
      <c r="AS2" t="s">
        <v>448</v>
      </c>
      <c r="AT2">
        <v>5</v>
      </c>
      <c r="AU2" t="s">
        <v>565</v>
      </c>
      <c r="AV2" s="1" t="s">
        <v>567</v>
      </c>
      <c r="AW2" t="s">
        <v>808</v>
      </c>
    </row>
    <row r="3" spans="1:50">
      <c r="B3" t="s">
        <v>51</v>
      </c>
      <c r="J3" t="s">
        <v>449</v>
      </c>
      <c r="K3" t="s">
        <v>450</v>
      </c>
      <c r="L3">
        <v>100</v>
      </c>
      <c r="M3">
        <v>39.01</v>
      </c>
      <c r="N3" t="s">
        <v>452</v>
      </c>
      <c r="O3" t="s">
        <v>462</v>
      </c>
      <c r="P3">
        <v>38.2</v>
      </c>
      <c r="Q3">
        <v>0.8099999999999952</v>
      </c>
      <c r="R3" t="s">
        <v>466</v>
      </c>
      <c r="S3" t="s">
        <v>449</v>
      </c>
      <c r="T3" t="s">
        <v>468</v>
      </c>
      <c r="U3">
        <v>2</v>
      </c>
      <c r="V3">
        <v>36.15</v>
      </c>
      <c r="W3" t="s">
        <v>453</v>
      </c>
      <c r="X3" t="s">
        <v>471</v>
      </c>
      <c r="Y3">
        <v>36.3</v>
      </c>
      <c r="Z3">
        <v>0.1499999999999986</v>
      </c>
      <c r="AA3" t="s">
        <v>465</v>
      </c>
      <c r="AB3" t="s">
        <v>472</v>
      </c>
      <c r="AD3" t="s">
        <v>478</v>
      </c>
      <c r="AF3">
        <v>38.74</v>
      </c>
      <c r="AG3" t="s">
        <v>496</v>
      </c>
      <c r="AH3" t="s">
        <v>497</v>
      </c>
      <c r="AI3">
        <v>38.3</v>
      </c>
      <c r="AJ3">
        <v>0.4400000000000048</v>
      </c>
      <c r="AK3" t="s">
        <v>465</v>
      </c>
      <c r="AL3">
        <v>10</v>
      </c>
      <c r="AM3">
        <v>35.59</v>
      </c>
      <c r="AN3" t="s">
        <v>453</v>
      </c>
      <c r="AO3" t="s">
        <v>509</v>
      </c>
      <c r="AP3">
        <v>35.1</v>
      </c>
      <c r="AQ3">
        <v>0.490000000000002</v>
      </c>
      <c r="AR3" t="s">
        <v>465</v>
      </c>
      <c r="AS3" t="s">
        <v>449</v>
      </c>
      <c r="AT3">
        <v>3</v>
      </c>
      <c r="AU3" t="s">
        <v>565</v>
      </c>
      <c r="AV3" s="1" t="s">
        <v>568</v>
      </c>
      <c r="AW3" t="s">
        <v>808</v>
      </c>
    </row>
    <row r="4" spans="1:50">
      <c r="B4" t="s">
        <v>52</v>
      </c>
      <c r="E4" t="s">
        <v>325</v>
      </c>
      <c r="J4" t="s">
        <v>448</v>
      </c>
      <c r="K4" t="s">
        <v>450</v>
      </c>
      <c r="L4">
        <v>100</v>
      </c>
      <c r="M4">
        <v>39.47</v>
      </c>
      <c r="N4" t="s">
        <v>453</v>
      </c>
      <c r="O4" t="s">
        <v>462</v>
      </c>
      <c r="P4">
        <v>38.2</v>
      </c>
      <c r="Q4">
        <v>1.269999999999996</v>
      </c>
      <c r="R4" t="s">
        <v>466</v>
      </c>
      <c r="S4" t="s">
        <v>449</v>
      </c>
      <c r="T4" t="s">
        <v>450</v>
      </c>
      <c r="U4">
        <v>100</v>
      </c>
      <c r="V4">
        <v>38.69</v>
      </c>
      <c r="W4" t="s">
        <v>453</v>
      </c>
      <c r="X4" t="s">
        <v>470</v>
      </c>
      <c r="Y4">
        <v>36.3</v>
      </c>
      <c r="Z4">
        <v>2.390000000000001</v>
      </c>
      <c r="AA4" t="s">
        <v>465</v>
      </c>
      <c r="AD4" t="s">
        <v>479</v>
      </c>
      <c r="AF4">
        <v>39.1</v>
      </c>
      <c r="AG4" t="s">
        <v>497</v>
      </c>
      <c r="AH4" t="s">
        <v>497</v>
      </c>
      <c r="AI4">
        <v>38.3</v>
      </c>
      <c r="AJ4">
        <v>0.8000000000000043</v>
      </c>
      <c r="AK4" t="s">
        <v>467</v>
      </c>
      <c r="AL4">
        <v>60</v>
      </c>
      <c r="AM4">
        <v>35.06</v>
      </c>
      <c r="AN4" t="s">
        <v>453</v>
      </c>
      <c r="AO4" t="s">
        <v>510</v>
      </c>
      <c r="AP4">
        <v>35.1</v>
      </c>
      <c r="AQ4">
        <v>0.03999999999999915</v>
      </c>
      <c r="AR4" t="s">
        <v>466</v>
      </c>
      <c r="AS4" t="s">
        <v>563</v>
      </c>
      <c r="AU4" t="s">
        <v>565</v>
      </c>
      <c r="AV4" s="1" t="s">
        <v>569</v>
      </c>
      <c r="AW4" t="s">
        <v>808</v>
      </c>
      <c r="AX4" t="s">
        <v>810</v>
      </c>
    </row>
    <row r="5" spans="1:50">
      <c r="B5" t="s">
        <v>53</v>
      </c>
      <c r="J5" t="s">
        <v>448</v>
      </c>
      <c r="K5" t="s">
        <v>450</v>
      </c>
      <c r="L5">
        <v>100</v>
      </c>
      <c r="M5">
        <v>36.94</v>
      </c>
      <c r="N5" t="s">
        <v>453</v>
      </c>
      <c r="O5" t="s">
        <v>463</v>
      </c>
      <c r="P5">
        <v>37.1</v>
      </c>
      <c r="Q5">
        <v>0.1600000000000037</v>
      </c>
      <c r="R5" t="s">
        <v>466</v>
      </c>
      <c r="S5" t="s">
        <v>448</v>
      </c>
      <c r="T5" t="s">
        <v>451</v>
      </c>
      <c r="U5">
        <v>90</v>
      </c>
      <c r="V5">
        <v>38.78</v>
      </c>
      <c r="W5" t="s">
        <v>452</v>
      </c>
      <c r="X5" t="s">
        <v>470</v>
      </c>
      <c r="Y5">
        <v>36.3</v>
      </c>
      <c r="Z5">
        <v>2.480000000000004</v>
      </c>
      <c r="AA5" t="s">
        <v>465</v>
      </c>
      <c r="AB5" t="s">
        <v>472</v>
      </c>
      <c r="AD5" t="s">
        <v>480</v>
      </c>
      <c r="AF5">
        <v>37.43</v>
      </c>
      <c r="AG5" t="s">
        <v>496</v>
      </c>
      <c r="AH5" t="s">
        <v>505</v>
      </c>
      <c r="AI5">
        <v>38.3</v>
      </c>
      <c r="AJ5">
        <v>0.8699999999999974</v>
      </c>
      <c r="AK5" t="s">
        <v>465</v>
      </c>
      <c r="AL5">
        <v>15</v>
      </c>
      <c r="AM5">
        <v>34.71</v>
      </c>
      <c r="AN5" t="s">
        <v>453</v>
      </c>
      <c r="AO5" t="s">
        <v>510</v>
      </c>
      <c r="AP5">
        <v>35.1</v>
      </c>
      <c r="AQ5">
        <v>0.3900000000000006</v>
      </c>
      <c r="AR5" t="s">
        <v>465</v>
      </c>
      <c r="AS5" t="s">
        <v>449</v>
      </c>
      <c r="AU5" t="s">
        <v>565</v>
      </c>
      <c r="AV5" s="1" t="s">
        <v>570</v>
      </c>
      <c r="AW5" t="s">
        <v>808</v>
      </c>
    </row>
    <row r="6" spans="1:50">
      <c r="B6" t="s">
        <v>54</v>
      </c>
      <c r="E6" t="s">
        <v>326</v>
      </c>
      <c r="J6" t="s">
        <v>449</v>
      </c>
      <c r="K6" t="s">
        <v>451</v>
      </c>
      <c r="L6">
        <v>85</v>
      </c>
      <c r="M6">
        <v>36.04</v>
      </c>
      <c r="N6" t="s">
        <v>453</v>
      </c>
      <c r="O6" t="s">
        <v>463</v>
      </c>
      <c r="P6">
        <v>37.1</v>
      </c>
      <c r="Q6">
        <v>1.060000000000002</v>
      </c>
      <c r="R6" t="s">
        <v>465</v>
      </c>
      <c r="S6" t="s">
        <v>449</v>
      </c>
      <c r="T6" t="s">
        <v>451</v>
      </c>
      <c r="U6">
        <v>15</v>
      </c>
      <c r="V6">
        <v>40.24</v>
      </c>
      <c r="W6" t="s">
        <v>452</v>
      </c>
      <c r="X6" t="s">
        <v>470</v>
      </c>
      <c r="Y6">
        <v>36.3</v>
      </c>
      <c r="Z6">
        <v>3.940000000000005</v>
      </c>
      <c r="AA6" t="s">
        <v>466</v>
      </c>
      <c r="AB6" t="s">
        <v>472</v>
      </c>
      <c r="AD6" t="s">
        <v>477</v>
      </c>
      <c r="AF6">
        <v>37.78</v>
      </c>
      <c r="AG6" t="s">
        <v>457</v>
      </c>
      <c r="AH6" t="s">
        <v>505</v>
      </c>
      <c r="AI6">
        <v>38.3</v>
      </c>
      <c r="AJ6">
        <v>0.519999999999996</v>
      </c>
      <c r="AK6" t="s">
        <v>465</v>
      </c>
      <c r="AL6">
        <v>15</v>
      </c>
      <c r="AM6">
        <v>37.17</v>
      </c>
      <c r="AN6" t="s">
        <v>452</v>
      </c>
      <c r="AO6" t="s">
        <v>511</v>
      </c>
      <c r="AP6">
        <v>37</v>
      </c>
      <c r="AQ6">
        <v>0.1700000000000017</v>
      </c>
      <c r="AR6" t="s">
        <v>466</v>
      </c>
      <c r="AS6" t="s">
        <v>564</v>
      </c>
      <c r="AU6" t="s">
        <v>565</v>
      </c>
      <c r="AV6" s="1" t="s">
        <v>571</v>
      </c>
      <c r="AW6" t="s">
        <v>808</v>
      </c>
      <c r="AX6" t="s">
        <v>811</v>
      </c>
    </row>
    <row r="7" spans="1:50">
      <c r="B7" t="s">
        <v>55</v>
      </c>
      <c r="E7" t="s">
        <v>327</v>
      </c>
      <c r="J7" t="s">
        <v>449</v>
      </c>
      <c r="K7" t="s">
        <v>450</v>
      </c>
      <c r="L7">
        <v>100</v>
      </c>
      <c r="M7">
        <v>40.65</v>
      </c>
      <c r="N7" t="s">
        <v>452</v>
      </c>
      <c r="O7" t="s">
        <v>462</v>
      </c>
      <c r="P7">
        <v>38.2</v>
      </c>
      <c r="Q7">
        <v>2.449999999999996</v>
      </c>
      <c r="R7" t="s">
        <v>466</v>
      </c>
      <c r="S7" t="s">
        <v>448</v>
      </c>
      <c r="T7" t="s">
        <v>468</v>
      </c>
      <c r="U7">
        <v>1</v>
      </c>
      <c r="V7">
        <v>37.43</v>
      </c>
      <c r="W7" t="s">
        <v>453</v>
      </c>
      <c r="X7" t="s">
        <v>470</v>
      </c>
      <c r="Y7">
        <v>36.3</v>
      </c>
      <c r="Z7">
        <v>1.130000000000003</v>
      </c>
      <c r="AA7" t="s">
        <v>466</v>
      </c>
      <c r="AF7">
        <v>39.85</v>
      </c>
      <c r="AG7" t="s">
        <v>454</v>
      </c>
      <c r="AH7" t="s">
        <v>497</v>
      </c>
      <c r="AI7">
        <v>40.4</v>
      </c>
      <c r="AJ7">
        <v>0.5499999999999972</v>
      </c>
      <c r="AK7" t="s">
        <v>467</v>
      </c>
      <c r="AM7">
        <v>35.96</v>
      </c>
      <c r="AN7" t="s">
        <v>453</v>
      </c>
      <c r="AO7" t="s">
        <v>512</v>
      </c>
      <c r="AP7">
        <v>36.3</v>
      </c>
      <c r="AQ7">
        <v>0.3399999999999963</v>
      </c>
      <c r="AR7" t="s">
        <v>467</v>
      </c>
      <c r="AU7" t="s">
        <v>565</v>
      </c>
      <c r="AV7" s="1" t="s">
        <v>572</v>
      </c>
      <c r="AW7" t="s">
        <v>808</v>
      </c>
      <c r="AX7" t="s">
        <v>812</v>
      </c>
    </row>
    <row r="8" spans="1:50">
      <c r="B8" t="s">
        <v>56</v>
      </c>
      <c r="E8" t="s">
        <v>328</v>
      </c>
      <c r="J8" t="s">
        <v>448</v>
      </c>
      <c r="M8">
        <v>37.15</v>
      </c>
      <c r="N8" t="s">
        <v>453</v>
      </c>
      <c r="O8" t="s">
        <v>464</v>
      </c>
      <c r="P8">
        <v>37.1</v>
      </c>
      <c r="Q8">
        <v>0.04999999999999716</v>
      </c>
      <c r="R8" t="s">
        <v>466</v>
      </c>
      <c r="S8" t="s">
        <v>449</v>
      </c>
      <c r="V8">
        <v>38.06</v>
      </c>
      <c r="W8" t="s">
        <v>453</v>
      </c>
      <c r="X8" t="s">
        <v>470</v>
      </c>
      <c r="Y8">
        <v>36.3</v>
      </c>
      <c r="Z8">
        <v>1.760000000000005</v>
      </c>
      <c r="AA8" t="s">
        <v>465</v>
      </c>
      <c r="AB8" t="s">
        <v>472</v>
      </c>
      <c r="AD8" t="s">
        <v>481</v>
      </c>
      <c r="AF8">
        <v>38.97</v>
      </c>
      <c r="AG8" t="s">
        <v>454</v>
      </c>
      <c r="AH8" t="s">
        <v>497</v>
      </c>
      <c r="AI8">
        <v>38.3</v>
      </c>
      <c r="AJ8">
        <v>0.6700000000000017</v>
      </c>
      <c r="AK8" t="s">
        <v>466</v>
      </c>
      <c r="AL8">
        <v>15</v>
      </c>
      <c r="AM8">
        <v>35.04</v>
      </c>
      <c r="AN8" t="s">
        <v>453</v>
      </c>
      <c r="AO8" t="s">
        <v>510</v>
      </c>
      <c r="AP8">
        <v>35.1</v>
      </c>
      <c r="AQ8">
        <v>0.06000000000000227</v>
      </c>
      <c r="AR8" t="s">
        <v>465</v>
      </c>
      <c r="AS8" t="s">
        <v>563</v>
      </c>
      <c r="AU8" t="s">
        <v>566</v>
      </c>
      <c r="AV8" s="1" t="s">
        <v>573</v>
      </c>
      <c r="AW8" t="s">
        <v>808</v>
      </c>
      <c r="AX8" t="s">
        <v>813</v>
      </c>
    </row>
    <row r="9" spans="1:50">
      <c r="B9" t="s">
        <v>57</v>
      </c>
      <c r="E9" t="s">
        <v>329</v>
      </c>
      <c r="J9" t="s">
        <v>449</v>
      </c>
      <c r="M9">
        <v>36.62</v>
      </c>
      <c r="N9" t="s">
        <v>453</v>
      </c>
      <c r="O9" t="s">
        <v>463</v>
      </c>
      <c r="P9">
        <v>37.1</v>
      </c>
      <c r="Q9">
        <v>0.480000000000004</v>
      </c>
      <c r="R9" t="s">
        <v>465</v>
      </c>
      <c r="S9" t="s">
        <v>449</v>
      </c>
      <c r="V9">
        <v>38.43</v>
      </c>
      <c r="W9" t="s">
        <v>453</v>
      </c>
      <c r="X9" t="s">
        <v>470</v>
      </c>
      <c r="Y9">
        <v>36.3</v>
      </c>
      <c r="Z9">
        <v>2.130000000000003</v>
      </c>
      <c r="AA9" t="s">
        <v>465</v>
      </c>
      <c r="AB9" t="s">
        <v>473</v>
      </c>
      <c r="AC9" t="s">
        <v>475</v>
      </c>
      <c r="AD9" t="s">
        <v>482</v>
      </c>
      <c r="AF9">
        <v>40.21</v>
      </c>
      <c r="AG9" t="s">
        <v>454</v>
      </c>
      <c r="AH9" t="s">
        <v>497</v>
      </c>
      <c r="AI9">
        <v>40.4</v>
      </c>
      <c r="AJ9">
        <v>0.1899999999999977</v>
      </c>
      <c r="AK9" t="s">
        <v>466</v>
      </c>
      <c r="AL9">
        <v>50</v>
      </c>
      <c r="AM9">
        <v>36.61</v>
      </c>
      <c r="AN9" t="s">
        <v>452</v>
      </c>
      <c r="AO9" t="s">
        <v>513</v>
      </c>
      <c r="AP9">
        <v>36.3</v>
      </c>
      <c r="AQ9">
        <v>0.3100000000000023</v>
      </c>
      <c r="AR9" t="s">
        <v>465</v>
      </c>
      <c r="AS9" t="s">
        <v>564</v>
      </c>
      <c r="AU9" t="s">
        <v>565</v>
      </c>
      <c r="AV9" s="1" t="s">
        <v>574</v>
      </c>
      <c r="AW9" t="s">
        <v>808</v>
      </c>
      <c r="AX9" t="s">
        <v>814</v>
      </c>
    </row>
    <row r="10" spans="1:50">
      <c r="B10" t="s">
        <v>58</v>
      </c>
      <c r="J10" t="s">
        <v>449</v>
      </c>
      <c r="K10" t="s">
        <v>450</v>
      </c>
      <c r="L10">
        <v>100</v>
      </c>
      <c r="M10">
        <v>39.89</v>
      </c>
      <c r="N10" t="s">
        <v>453</v>
      </c>
      <c r="O10" t="s">
        <v>462</v>
      </c>
      <c r="P10">
        <v>38.2</v>
      </c>
      <c r="Q10">
        <v>1.689999999999998</v>
      </c>
      <c r="R10" t="s">
        <v>465</v>
      </c>
      <c r="S10" t="s">
        <v>448</v>
      </c>
      <c r="T10" t="s">
        <v>468</v>
      </c>
      <c r="U10">
        <v>5</v>
      </c>
      <c r="V10">
        <v>40.94</v>
      </c>
      <c r="W10" t="s">
        <v>452</v>
      </c>
      <c r="X10" t="s">
        <v>470</v>
      </c>
      <c r="Y10">
        <v>36.3</v>
      </c>
      <c r="Z10">
        <v>4.640000000000001</v>
      </c>
      <c r="AA10" t="s">
        <v>465</v>
      </c>
      <c r="AB10" t="s">
        <v>472</v>
      </c>
      <c r="AD10" t="s">
        <v>477</v>
      </c>
      <c r="AF10">
        <v>37.16</v>
      </c>
      <c r="AG10" t="s">
        <v>496</v>
      </c>
      <c r="AH10" t="s">
        <v>505</v>
      </c>
      <c r="AI10">
        <v>38.3</v>
      </c>
      <c r="AJ10">
        <v>1.140000000000001</v>
      </c>
      <c r="AK10" t="s">
        <v>465</v>
      </c>
      <c r="AL10">
        <v>60</v>
      </c>
      <c r="AM10">
        <v>35.81</v>
      </c>
      <c r="AN10" t="s">
        <v>453</v>
      </c>
      <c r="AO10" t="s">
        <v>514</v>
      </c>
      <c r="AP10">
        <v>36.3</v>
      </c>
      <c r="AQ10">
        <v>0.4899999999999949</v>
      </c>
      <c r="AR10" t="s">
        <v>466</v>
      </c>
      <c r="AS10" t="s">
        <v>448</v>
      </c>
      <c r="AT10">
        <v>5</v>
      </c>
      <c r="AU10" t="s">
        <v>565</v>
      </c>
      <c r="AV10" s="1" t="s">
        <v>575</v>
      </c>
      <c r="AW10" t="s">
        <v>808</v>
      </c>
    </row>
    <row r="11" spans="1:50">
      <c r="B11" t="s">
        <v>59</v>
      </c>
      <c r="J11" t="s">
        <v>449</v>
      </c>
      <c r="K11" t="s">
        <v>450</v>
      </c>
      <c r="L11">
        <v>100</v>
      </c>
      <c r="M11">
        <v>38.84</v>
      </c>
      <c r="N11" t="s">
        <v>452</v>
      </c>
      <c r="O11" t="s">
        <v>462</v>
      </c>
      <c r="P11">
        <v>38.2</v>
      </c>
      <c r="Q11">
        <v>0.6400000000000006</v>
      </c>
      <c r="R11" t="s">
        <v>466</v>
      </c>
      <c r="S11" t="s">
        <v>448</v>
      </c>
      <c r="T11" t="s">
        <v>468</v>
      </c>
      <c r="U11">
        <v>2</v>
      </c>
      <c r="V11">
        <v>37.4</v>
      </c>
      <c r="W11" t="s">
        <v>453</v>
      </c>
      <c r="X11" t="s">
        <v>470</v>
      </c>
      <c r="Y11">
        <v>36.3</v>
      </c>
      <c r="Z11">
        <v>1.100000000000001</v>
      </c>
      <c r="AA11" t="s">
        <v>466</v>
      </c>
      <c r="AB11" t="s">
        <v>472</v>
      </c>
      <c r="AD11" t="s">
        <v>478</v>
      </c>
      <c r="AF11">
        <v>39.43</v>
      </c>
      <c r="AG11" t="s">
        <v>454</v>
      </c>
      <c r="AH11" t="s">
        <v>497</v>
      </c>
      <c r="AI11">
        <v>40.4</v>
      </c>
      <c r="AJ11">
        <v>0.9699999999999989</v>
      </c>
      <c r="AK11" t="s">
        <v>466</v>
      </c>
      <c r="AL11">
        <v>40</v>
      </c>
      <c r="AM11">
        <v>37.97</v>
      </c>
      <c r="AN11" t="s">
        <v>452</v>
      </c>
      <c r="AO11" t="s">
        <v>515</v>
      </c>
      <c r="AP11">
        <v>37.7</v>
      </c>
      <c r="AQ11">
        <v>0.269999999999996</v>
      </c>
      <c r="AR11" t="s">
        <v>465</v>
      </c>
      <c r="AS11" t="s">
        <v>449</v>
      </c>
      <c r="AT11">
        <v>3</v>
      </c>
      <c r="AU11" t="s">
        <v>565</v>
      </c>
      <c r="AV11" s="1" t="s">
        <v>576</v>
      </c>
      <c r="AW11" t="s">
        <v>808</v>
      </c>
    </row>
    <row r="12" spans="1:50">
      <c r="B12" t="s">
        <v>60</v>
      </c>
      <c r="E12" t="s">
        <v>325</v>
      </c>
      <c r="J12" t="s">
        <v>449</v>
      </c>
      <c r="K12" t="s">
        <v>450</v>
      </c>
      <c r="L12">
        <v>100</v>
      </c>
      <c r="M12">
        <v>39.4</v>
      </c>
      <c r="N12" t="s">
        <v>453</v>
      </c>
      <c r="O12" t="s">
        <v>462</v>
      </c>
      <c r="P12">
        <v>38.2</v>
      </c>
      <c r="Q12">
        <v>1.199999999999996</v>
      </c>
      <c r="R12" t="s">
        <v>465</v>
      </c>
      <c r="S12" t="s">
        <v>449</v>
      </c>
      <c r="T12" t="s">
        <v>450</v>
      </c>
      <c r="U12">
        <v>100</v>
      </c>
      <c r="V12">
        <v>40.22</v>
      </c>
      <c r="W12" t="s">
        <v>452</v>
      </c>
      <c r="X12" t="s">
        <v>470</v>
      </c>
      <c r="Y12">
        <v>36.3</v>
      </c>
      <c r="Z12">
        <v>3.920000000000002</v>
      </c>
      <c r="AA12" t="s">
        <v>466</v>
      </c>
      <c r="AD12" t="s">
        <v>479</v>
      </c>
      <c r="AF12">
        <v>38.38</v>
      </c>
      <c r="AG12" t="s">
        <v>497</v>
      </c>
      <c r="AH12" t="s">
        <v>497</v>
      </c>
      <c r="AI12">
        <v>38.3</v>
      </c>
      <c r="AJ12">
        <v>0.0800000000000054</v>
      </c>
      <c r="AK12" t="s">
        <v>467</v>
      </c>
      <c r="AL12">
        <v>40</v>
      </c>
      <c r="AM12">
        <v>35.62</v>
      </c>
      <c r="AN12" t="s">
        <v>453</v>
      </c>
      <c r="AO12" t="s">
        <v>509</v>
      </c>
      <c r="AP12">
        <v>35.1</v>
      </c>
      <c r="AQ12">
        <v>0.519999999999996</v>
      </c>
      <c r="AR12" t="s">
        <v>466</v>
      </c>
      <c r="AS12" t="s">
        <v>563</v>
      </c>
      <c r="AU12" t="s">
        <v>565</v>
      </c>
      <c r="AV12" s="1" t="s">
        <v>577</v>
      </c>
      <c r="AW12" t="s">
        <v>808</v>
      </c>
      <c r="AX12" t="s">
        <v>815</v>
      </c>
    </row>
    <row r="13" spans="1:50">
      <c r="B13" t="s">
        <v>61</v>
      </c>
      <c r="J13" t="s">
        <v>448</v>
      </c>
      <c r="K13" t="s">
        <v>450</v>
      </c>
      <c r="L13">
        <v>100</v>
      </c>
      <c r="M13">
        <v>36.79</v>
      </c>
      <c r="N13" t="s">
        <v>453</v>
      </c>
      <c r="O13" t="s">
        <v>463</v>
      </c>
      <c r="P13">
        <v>37.1</v>
      </c>
      <c r="Q13">
        <v>0.3100000000000023</v>
      </c>
      <c r="R13" t="s">
        <v>466</v>
      </c>
      <c r="S13" t="s">
        <v>448</v>
      </c>
      <c r="T13" t="s">
        <v>451</v>
      </c>
      <c r="U13">
        <v>90</v>
      </c>
      <c r="V13">
        <v>38.76</v>
      </c>
      <c r="W13" t="s">
        <v>452</v>
      </c>
      <c r="X13" t="s">
        <v>470</v>
      </c>
      <c r="Y13">
        <v>36.3</v>
      </c>
      <c r="Z13">
        <v>2.460000000000001</v>
      </c>
      <c r="AA13" t="s">
        <v>465</v>
      </c>
      <c r="AB13" t="s">
        <v>472</v>
      </c>
      <c r="AD13" t="s">
        <v>480</v>
      </c>
      <c r="AF13">
        <v>38.25</v>
      </c>
      <c r="AG13" t="s">
        <v>454</v>
      </c>
      <c r="AH13" t="s">
        <v>505</v>
      </c>
      <c r="AI13">
        <v>38.3</v>
      </c>
      <c r="AJ13">
        <v>0.04999999999999716</v>
      </c>
      <c r="AK13" t="s">
        <v>466</v>
      </c>
      <c r="AL13">
        <v>10</v>
      </c>
      <c r="AM13">
        <v>36.91</v>
      </c>
      <c r="AN13" t="s">
        <v>452</v>
      </c>
      <c r="AO13" t="s">
        <v>516</v>
      </c>
      <c r="AP13">
        <v>37</v>
      </c>
      <c r="AQ13">
        <v>0.09000000000000341</v>
      </c>
      <c r="AR13" t="s">
        <v>466</v>
      </c>
      <c r="AS13" t="s">
        <v>449</v>
      </c>
      <c r="AU13" t="s">
        <v>565</v>
      </c>
      <c r="AV13" s="1" t="s">
        <v>578</v>
      </c>
      <c r="AW13" t="s">
        <v>808</v>
      </c>
    </row>
    <row r="14" spans="1:50">
      <c r="B14" t="s">
        <v>62</v>
      </c>
      <c r="E14" t="s">
        <v>330</v>
      </c>
      <c r="J14" t="s">
        <v>449</v>
      </c>
      <c r="K14" t="s">
        <v>451</v>
      </c>
      <c r="L14">
        <v>85</v>
      </c>
      <c r="M14">
        <v>38.97</v>
      </c>
      <c r="N14" t="s">
        <v>452</v>
      </c>
      <c r="O14" t="s">
        <v>462</v>
      </c>
      <c r="P14">
        <v>38.2</v>
      </c>
      <c r="Q14">
        <v>0.769999999999996</v>
      </c>
      <c r="R14" t="s">
        <v>466</v>
      </c>
      <c r="S14" t="s">
        <v>449</v>
      </c>
      <c r="T14" t="s">
        <v>451</v>
      </c>
      <c r="U14">
        <v>15</v>
      </c>
      <c r="V14">
        <v>39.89</v>
      </c>
      <c r="W14" t="s">
        <v>452</v>
      </c>
      <c r="X14" t="s">
        <v>470</v>
      </c>
      <c r="Y14">
        <v>36.3</v>
      </c>
      <c r="Z14">
        <v>3.590000000000003</v>
      </c>
      <c r="AA14" t="s">
        <v>466</v>
      </c>
      <c r="AB14" t="s">
        <v>472</v>
      </c>
      <c r="AD14" t="s">
        <v>477</v>
      </c>
      <c r="AF14">
        <v>39.75</v>
      </c>
      <c r="AG14" t="s">
        <v>454</v>
      </c>
      <c r="AH14" t="s">
        <v>497</v>
      </c>
      <c r="AI14">
        <v>40.4</v>
      </c>
      <c r="AJ14">
        <v>0.6499999999999986</v>
      </c>
      <c r="AK14" t="s">
        <v>466</v>
      </c>
      <c r="AL14">
        <v>30</v>
      </c>
      <c r="AM14">
        <v>35.52</v>
      </c>
      <c r="AN14" t="s">
        <v>453</v>
      </c>
      <c r="AO14" t="s">
        <v>517</v>
      </c>
      <c r="AP14">
        <v>35.1</v>
      </c>
      <c r="AQ14">
        <v>0.4200000000000017</v>
      </c>
      <c r="AR14" t="s">
        <v>466</v>
      </c>
      <c r="AS14" t="s">
        <v>564</v>
      </c>
      <c r="AU14" t="s">
        <v>565</v>
      </c>
      <c r="AV14" s="1" t="s">
        <v>579</v>
      </c>
      <c r="AW14" t="s">
        <v>808</v>
      </c>
      <c r="AX14" t="s">
        <v>816</v>
      </c>
    </row>
    <row r="15" spans="1:50">
      <c r="B15" t="s">
        <v>63</v>
      </c>
      <c r="E15" t="s">
        <v>331</v>
      </c>
      <c r="J15" t="s">
        <v>449</v>
      </c>
      <c r="K15" t="s">
        <v>450</v>
      </c>
      <c r="L15">
        <v>100</v>
      </c>
      <c r="M15">
        <v>38.49</v>
      </c>
      <c r="N15" t="s">
        <v>453</v>
      </c>
      <c r="O15" t="s">
        <v>462</v>
      </c>
      <c r="P15">
        <v>38.2</v>
      </c>
      <c r="Q15">
        <v>0.2899999999999991</v>
      </c>
      <c r="R15" t="s">
        <v>465</v>
      </c>
      <c r="S15" t="s">
        <v>449</v>
      </c>
      <c r="T15" t="s">
        <v>468</v>
      </c>
      <c r="U15">
        <v>1</v>
      </c>
      <c r="V15">
        <v>38.87</v>
      </c>
      <c r="W15" t="s">
        <v>452</v>
      </c>
      <c r="X15" t="s">
        <v>470</v>
      </c>
      <c r="Y15">
        <v>36.3</v>
      </c>
      <c r="Z15">
        <v>2.57</v>
      </c>
      <c r="AA15" t="s">
        <v>466</v>
      </c>
      <c r="AF15">
        <v>38.89</v>
      </c>
      <c r="AG15" t="s">
        <v>497</v>
      </c>
      <c r="AH15" t="s">
        <v>497</v>
      </c>
      <c r="AI15">
        <v>38.3</v>
      </c>
      <c r="AJ15">
        <v>0.5900000000000034</v>
      </c>
      <c r="AK15" t="s">
        <v>467</v>
      </c>
      <c r="AM15">
        <v>35.2</v>
      </c>
      <c r="AN15" t="s">
        <v>453</v>
      </c>
      <c r="AO15" t="s">
        <v>518</v>
      </c>
      <c r="AP15">
        <v>35.1</v>
      </c>
      <c r="AQ15">
        <v>0.1000000000000014</v>
      </c>
      <c r="AR15" t="s">
        <v>467</v>
      </c>
      <c r="AU15" t="s">
        <v>565</v>
      </c>
      <c r="AV15" s="1" t="s">
        <v>580</v>
      </c>
      <c r="AW15" t="s">
        <v>808</v>
      </c>
      <c r="AX15" t="s">
        <v>817</v>
      </c>
    </row>
    <row r="16" spans="1:50">
      <c r="B16" t="s">
        <v>64</v>
      </c>
      <c r="E16" t="s">
        <v>332</v>
      </c>
      <c r="J16" t="s">
        <v>449</v>
      </c>
      <c r="M16">
        <v>39.12</v>
      </c>
      <c r="N16" t="s">
        <v>452</v>
      </c>
      <c r="O16" t="s">
        <v>462</v>
      </c>
      <c r="P16">
        <v>38.2</v>
      </c>
      <c r="Q16">
        <v>0.9199999999999946</v>
      </c>
      <c r="R16" t="s">
        <v>466</v>
      </c>
      <c r="S16" t="s">
        <v>449</v>
      </c>
      <c r="V16">
        <v>39.77</v>
      </c>
      <c r="W16" t="s">
        <v>453</v>
      </c>
      <c r="X16" t="s">
        <v>470</v>
      </c>
      <c r="Y16">
        <v>36.3</v>
      </c>
      <c r="Z16">
        <v>3.470000000000006</v>
      </c>
      <c r="AA16" t="s">
        <v>465</v>
      </c>
      <c r="AB16" t="s">
        <v>472</v>
      </c>
      <c r="AD16" t="s">
        <v>481</v>
      </c>
      <c r="AF16">
        <v>37.07</v>
      </c>
      <c r="AG16" t="s">
        <v>497</v>
      </c>
      <c r="AH16" t="s">
        <v>505</v>
      </c>
      <c r="AI16">
        <v>38.3</v>
      </c>
      <c r="AJ16">
        <v>1.229999999999997</v>
      </c>
      <c r="AK16" t="s">
        <v>465</v>
      </c>
      <c r="AL16">
        <v>30</v>
      </c>
      <c r="AM16">
        <v>37.48</v>
      </c>
      <c r="AN16" t="s">
        <v>452</v>
      </c>
      <c r="AO16" t="s">
        <v>508</v>
      </c>
      <c r="AP16">
        <v>37.7</v>
      </c>
      <c r="AQ16">
        <v>0.220000000000006</v>
      </c>
      <c r="AR16" t="s">
        <v>465</v>
      </c>
      <c r="AS16" t="s">
        <v>563</v>
      </c>
      <c r="AU16" t="s">
        <v>566</v>
      </c>
      <c r="AV16" s="1" t="s">
        <v>581</v>
      </c>
      <c r="AW16" t="s">
        <v>808</v>
      </c>
      <c r="AX16" t="s">
        <v>818</v>
      </c>
    </row>
    <row r="17" spans="2:50">
      <c r="B17" t="s">
        <v>65</v>
      </c>
      <c r="E17" t="s">
        <v>333</v>
      </c>
      <c r="J17" t="s">
        <v>448</v>
      </c>
      <c r="M17">
        <v>36.52</v>
      </c>
      <c r="N17" t="s">
        <v>453</v>
      </c>
      <c r="O17" t="s">
        <v>463</v>
      </c>
      <c r="P17">
        <v>37.1</v>
      </c>
      <c r="Q17">
        <v>0.5799999999999983</v>
      </c>
      <c r="R17" t="s">
        <v>466</v>
      </c>
      <c r="S17" t="s">
        <v>449</v>
      </c>
      <c r="V17">
        <v>40.1</v>
      </c>
      <c r="W17" t="s">
        <v>452</v>
      </c>
      <c r="X17" t="s">
        <v>470</v>
      </c>
      <c r="Y17">
        <v>36.3</v>
      </c>
      <c r="Z17">
        <v>3.800000000000004</v>
      </c>
      <c r="AA17" t="s">
        <v>466</v>
      </c>
      <c r="AB17" t="s">
        <v>473</v>
      </c>
      <c r="AC17" t="s">
        <v>475</v>
      </c>
      <c r="AD17" t="s">
        <v>482</v>
      </c>
      <c r="AF17">
        <v>39.67</v>
      </c>
      <c r="AG17" t="s">
        <v>497</v>
      </c>
      <c r="AH17" t="s">
        <v>497</v>
      </c>
      <c r="AI17">
        <v>40.4</v>
      </c>
      <c r="AJ17">
        <v>0.7299999999999969</v>
      </c>
      <c r="AK17" t="s">
        <v>465</v>
      </c>
      <c r="AL17">
        <v>50</v>
      </c>
      <c r="AM17">
        <v>34.75</v>
      </c>
      <c r="AN17" t="s">
        <v>453</v>
      </c>
      <c r="AO17" t="s">
        <v>510</v>
      </c>
      <c r="AP17">
        <v>35.1</v>
      </c>
      <c r="AQ17">
        <v>0.3500000000000014</v>
      </c>
      <c r="AR17" t="s">
        <v>466</v>
      </c>
      <c r="AS17" t="s">
        <v>564</v>
      </c>
      <c r="AU17" t="s">
        <v>565</v>
      </c>
      <c r="AV17" s="1" t="s">
        <v>582</v>
      </c>
      <c r="AW17" t="s">
        <v>808</v>
      </c>
      <c r="AX17" t="s">
        <v>819</v>
      </c>
    </row>
    <row r="18" spans="2:50">
      <c r="B18" t="s">
        <v>66</v>
      </c>
      <c r="J18" t="s">
        <v>449</v>
      </c>
      <c r="K18" t="s">
        <v>450</v>
      </c>
      <c r="L18">
        <v>100</v>
      </c>
      <c r="M18">
        <v>38.29</v>
      </c>
      <c r="N18" t="s">
        <v>452</v>
      </c>
      <c r="O18" t="s">
        <v>462</v>
      </c>
      <c r="P18">
        <v>38.2</v>
      </c>
      <c r="Q18">
        <v>0.08999999999999631</v>
      </c>
      <c r="R18" t="s">
        <v>466</v>
      </c>
      <c r="S18" t="s">
        <v>448</v>
      </c>
      <c r="T18" t="s">
        <v>468</v>
      </c>
      <c r="U18">
        <v>5</v>
      </c>
      <c r="V18">
        <v>38.8</v>
      </c>
      <c r="W18" t="s">
        <v>453</v>
      </c>
      <c r="X18" t="s">
        <v>470</v>
      </c>
      <c r="Y18">
        <v>36.3</v>
      </c>
      <c r="Z18">
        <v>2.5</v>
      </c>
      <c r="AA18" t="s">
        <v>466</v>
      </c>
      <c r="AB18" t="s">
        <v>472</v>
      </c>
      <c r="AD18" t="s">
        <v>477</v>
      </c>
      <c r="AF18">
        <v>39.69</v>
      </c>
      <c r="AG18" t="s">
        <v>457</v>
      </c>
      <c r="AH18" t="s">
        <v>497</v>
      </c>
      <c r="AI18">
        <v>40.4</v>
      </c>
      <c r="AJ18">
        <v>0.7100000000000009</v>
      </c>
      <c r="AK18" t="s">
        <v>465</v>
      </c>
      <c r="AL18">
        <v>50</v>
      </c>
      <c r="AM18">
        <v>37.97</v>
      </c>
      <c r="AN18" t="s">
        <v>452</v>
      </c>
      <c r="AO18" t="s">
        <v>515</v>
      </c>
      <c r="AP18">
        <v>37.7</v>
      </c>
      <c r="AQ18">
        <v>0.269999999999996</v>
      </c>
      <c r="AR18" t="s">
        <v>465</v>
      </c>
      <c r="AS18" t="s">
        <v>448</v>
      </c>
      <c r="AT18">
        <v>5</v>
      </c>
      <c r="AU18" t="s">
        <v>565</v>
      </c>
      <c r="AV18" s="1" t="s">
        <v>583</v>
      </c>
      <c r="AW18" t="s">
        <v>808</v>
      </c>
    </row>
    <row r="19" spans="2:50">
      <c r="B19" t="s">
        <v>67</v>
      </c>
      <c r="J19" t="s">
        <v>448</v>
      </c>
      <c r="K19" t="s">
        <v>450</v>
      </c>
      <c r="L19">
        <v>100</v>
      </c>
      <c r="M19">
        <v>39.31</v>
      </c>
      <c r="N19" t="s">
        <v>453</v>
      </c>
      <c r="O19" t="s">
        <v>462</v>
      </c>
      <c r="P19">
        <v>38.2</v>
      </c>
      <c r="Q19">
        <v>1.109999999999999</v>
      </c>
      <c r="R19" t="s">
        <v>466</v>
      </c>
      <c r="S19" t="s">
        <v>448</v>
      </c>
      <c r="T19" t="s">
        <v>468</v>
      </c>
      <c r="U19">
        <v>2</v>
      </c>
      <c r="V19">
        <v>38.88</v>
      </c>
      <c r="W19" t="s">
        <v>452</v>
      </c>
      <c r="X19" t="s">
        <v>470</v>
      </c>
      <c r="Y19">
        <v>36.3</v>
      </c>
      <c r="Z19">
        <v>2.580000000000005</v>
      </c>
      <c r="AA19" t="s">
        <v>465</v>
      </c>
      <c r="AB19" t="s">
        <v>472</v>
      </c>
      <c r="AD19" t="s">
        <v>478</v>
      </c>
      <c r="AF19">
        <v>37.57</v>
      </c>
      <c r="AG19" t="s">
        <v>498</v>
      </c>
      <c r="AH19" t="s">
        <v>505</v>
      </c>
      <c r="AI19">
        <v>38.3</v>
      </c>
      <c r="AJ19">
        <v>0.7299999999999969</v>
      </c>
      <c r="AK19" t="s">
        <v>465</v>
      </c>
      <c r="AL19">
        <v>15</v>
      </c>
      <c r="AM19">
        <v>37.23</v>
      </c>
      <c r="AN19" t="s">
        <v>452</v>
      </c>
      <c r="AO19" t="s">
        <v>519</v>
      </c>
      <c r="AP19">
        <v>37</v>
      </c>
      <c r="AQ19">
        <v>0.2299999999999969</v>
      </c>
      <c r="AR19" t="s">
        <v>466</v>
      </c>
      <c r="AS19" t="s">
        <v>449</v>
      </c>
      <c r="AT19">
        <v>3</v>
      </c>
      <c r="AU19" t="s">
        <v>565</v>
      </c>
      <c r="AV19" s="1" t="s">
        <v>584</v>
      </c>
      <c r="AW19" t="s">
        <v>808</v>
      </c>
    </row>
    <row r="20" spans="2:50">
      <c r="B20" t="s">
        <v>68</v>
      </c>
      <c r="E20" t="s">
        <v>325</v>
      </c>
      <c r="J20" t="s">
        <v>449</v>
      </c>
      <c r="K20" t="s">
        <v>450</v>
      </c>
      <c r="L20">
        <v>100</v>
      </c>
      <c r="M20">
        <v>38.92</v>
      </c>
      <c r="N20" t="s">
        <v>453</v>
      </c>
      <c r="O20" t="s">
        <v>462</v>
      </c>
      <c r="P20">
        <v>38.2</v>
      </c>
      <c r="Q20">
        <v>0.7199999999999989</v>
      </c>
      <c r="R20" t="s">
        <v>465</v>
      </c>
      <c r="S20" t="s">
        <v>448</v>
      </c>
      <c r="T20" t="s">
        <v>450</v>
      </c>
      <c r="U20">
        <v>100</v>
      </c>
      <c r="V20">
        <v>38.88</v>
      </c>
      <c r="W20" t="s">
        <v>453</v>
      </c>
      <c r="X20" t="s">
        <v>470</v>
      </c>
      <c r="Y20">
        <v>36.3</v>
      </c>
      <c r="Z20">
        <v>2.580000000000005</v>
      </c>
      <c r="AA20" t="s">
        <v>466</v>
      </c>
      <c r="AB20" t="s">
        <v>472</v>
      </c>
      <c r="AD20" t="s">
        <v>481</v>
      </c>
      <c r="AF20">
        <v>40.95</v>
      </c>
      <c r="AG20" t="s">
        <v>454</v>
      </c>
      <c r="AH20" t="s">
        <v>506</v>
      </c>
      <c r="AI20">
        <v>40.4</v>
      </c>
      <c r="AJ20">
        <v>0.5500000000000043</v>
      </c>
      <c r="AK20" t="s">
        <v>466</v>
      </c>
      <c r="AL20">
        <v>25</v>
      </c>
      <c r="AM20">
        <v>35.23</v>
      </c>
      <c r="AN20" t="s">
        <v>453</v>
      </c>
      <c r="AO20" t="s">
        <v>520</v>
      </c>
      <c r="AP20">
        <v>35.1</v>
      </c>
      <c r="AQ20">
        <v>0.1299999999999955</v>
      </c>
      <c r="AR20" t="s">
        <v>466</v>
      </c>
      <c r="AS20" t="s">
        <v>563</v>
      </c>
      <c r="AU20" t="s">
        <v>565</v>
      </c>
      <c r="AV20" s="1" t="s">
        <v>585</v>
      </c>
      <c r="AW20" t="s">
        <v>808</v>
      </c>
      <c r="AX20" t="s">
        <v>820</v>
      </c>
    </row>
    <row r="21" spans="2:50">
      <c r="B21" t="s">
        <v>69</v>
      </c>
      <c r="J21" t="s">
        <v>449</v>
      </c>
      <c r="K21" t="s">
        <v>450</v>
      </c>
      <c r="L21">
        <v>100</v>
      </c>
      <c r="M21">
        <v>38.88</v>
      </c>
      <c r="N21" t="s">
        <v>453</v>
      </c>
      <c r="O21" t="s">
        <v>462</v>
      </c>
      <c r="P21">
        <v>38.2</v>
      </c>
      <c r="Q21">
        <v>0.6799999999999997</v>
      </c>
      <c r="R21" t="s">
        <v>465</v>
      </c>
      <c r="S21" t="s">
        <v>449</v>
      </c>
      <c r="T21" t="s">
        <v>451</v>
      </c>
      <c r="U21">
        <v>90</v>
      </c>
      <c r="V21">
        <v>37.87</v>
      </c>
      <c r="W21" t="s">
        <v>453</v>
      </c>
      <c r="X21" t="s">
        <v>470</v>
      </c>
      <c r="Y21">
        <v>36.3</v>
      </c>
      <c r="Z21">
        <v>1.57</v>
      </c>
      <c r="AA21" t="s">
        <v>465</v>
      </c>
      <c r="AB21" t="s">
        <v>472</v>
      </c>
      <c r="AD21" t="s">
        <v>480</v>
      </c>
      <c r="AF21">
        <v>36.86</v>
      </c>
      <c r="AG21" t="s">
        <v>497</v>
      </c>
      <c r="AH21" t="s">
        <v>505</v>
      </c>
      <c r="AI21">
        <v>38.3</v>
      </c>
      <c r="AJ21">
        <v>1.439999999999998</v>
      </c>
      <c r="AK21" t="s">
        <v>465</v>
      </c>
      <c r="AL21">
        <v>40</v>
      </c>
      <c r="AM21">
        <v>35.71</v>
      </c>
      <c r="AN21" t="s">
        <v>453</v>
      </c>
      <c r="AO21" t="s">
        <v>521</v>
      </c>
      <c r="AP21">
        <v>36.3</v>
      </c>
      <c r="AQ21">
        <v>0.5899999999999963</v>
      </c>
      <c r="AR21" t="s">
        <v>466</v>
      </c>
      <c r="AS21" t="s">
        <v>449</v>
      </c>
      <c r="AU21" t="s">
        <v>565</v>
      </c>
      <c r="AV21" s="1" t="s">
        <v>586</v>
      </c>
      <c r="AW21" t="s">
        <v>808</v>
      </c>
    </row>
    <row r="22" spans="2:50">
      <c r="B22" t="s">
        <v>70</v>
      </c>
      <c r="E22" t="s">
        <v>334</v>
      </c>
      <c r="J22" t="s">
        <v>448</v>
      </c>
      <c r="K22" t="s">
        <v>451</v>
      </c>
      <c r="L22">
        <v>85</v>
      </c>
      <c r="M22">
        <v>37.79</v>
      </c>
      <c r="N22" t="s">
        <v>453</v>
      </c>
      <c r="O22" t="s">
        <v>464</v>
      </c>
      <c r="P22">
        <v>38.2</v>
      </c>
      <c r="Q22">
        <v>0.4100000000000037</v>
      </c>
      <c r="R22" t="s">
        <v>466</v>
      </c>
      <c r="S22" t="s">
        <v>448</v>
      </c>
      <c r="T22" t="s">
        <v>451</v>
      </c>
      <c r="U22">
        <v>15</v>
      </c>
      <c r="V22">
        <v>38.37</v>
      </c>
      <c r="W22" t="s">
        <v>453</v>
      </c>
      <c r="X22" t="s">
        <v>470</v>
      </c>
      <c r="Y22">
        <v>36.3</v>
      </c>
      <c r="Z22">
        <v>2.07</v>
      </c>
      <c r="AA22" t="s">
        <v>466</v>
      </c>
      <c r="AD22" t="s">
        <v>479</v>
      </c>
      <c r="AF22">
        <v>37.12</v>
      </c>
      <c r="AG22" t="s">
        <v>497</v>
      </c>
      <c r="AH22" t="s">
        <v>505</v>
      </c>
      <c r="AI22">
        <v>38.3</v>
      </c>
      <c r="AJ22">
        <v>1.18</v>
      </c>
      <c r="AK22" t="s">
        <v>467</v>
      </c>
      <c r="AL22">
        <v>10</v>
      </c>
      <c r="AM22">
        <v>35.87</v>
      </c>
      <c r="AN22" t="s">
        <v>453</v>
      </c>
      <c r="AO22" t="s">
        <v>522</v>
      </c>
      <c r="AP22">
        <v>36.3</v>
      </c>
      <c r="AQ22">
        <v>0.4299999999999997</v>
      </c>
      <c r="AR22" t="s">
        <v>465</v>
      </c>
      <c r="AS22" t="s">
        <v>564</v>
      </c>
      <c r="AU22" t="s">
        <v>565</v>
      </c>
      <c r="AV22" s="1" t="s">
        <v>587</v>
      </c>
      <c r="AW22" t="s">
        <v>808</v>
      </c>
      <c r="AX22" t="s">
        <v>821</v>
      </c>
    </row>
    <row r="23" spans="2:50">
      <c r="B23" t="s">
        <v>71</v>
      </c>
      <c r="E23" t="s">
        <v>335</v>
      </c>
      <c r="J23" t="s">
        <v>449</v>
      </c>
      <c r="K23" t="s">
        <v>450</v>
      </c>
      <c r="L23">
        <v>100</v>
      </c>
      <c r="M23">
        <v>40.99</v>
      </c>
      <c r="N23" t="s">
        <v>452</v>
      </c>
      <c r="O23" t="s">
        <v>462</v>
      </c>
      <c r="P23">
        <v>38.2</v>
      </c>
      <c r="Q23">
        <v>2.789999999999999</v>
      </c>
      <c r="R23" t="s">
        <v>466</v>
      </c>
      <c r="S23" t="s">
        <v>448</v>
      </c>
      <c r="T23" t="s">
        <v>468</v>
      </c>
      <c r="U23">
        <v>1</v>
      </c>
      <c r="V23">
        <v>37.02</v>
      </c>
      <c r="W23" t="s">
        <v>453</v>
      </c>
      <c r="X23" t="s">
        <v>470</v>
      </c>
      <c r="Y23">
        <v>36.3</v>
      </c>
      <c r="Z23">
        <v>0.720000000000006</v>
      </c>
      <c r="AA23" t="s">
        <v>466</v>
      </c>
      <c r="AF23">
        <v>36.2</v>
      </c>
      <c r="AG23" t="s">
        <v>497</v>
      </c>
      <c r="AH23" t="s">
        <v>505</v>
      </c>
      <c r="AI23">
        <v>38.3</v>
      </c>
      <c r="AJ23">
        <v>2.099999999999994</v>
      </c>
      <c r="AK23" t="s">
        <v>467</v>
      </c>
      <c r="AM23">
        <v>35.65</v>
      </c>
      <c r="AN23" t="s">
        <v>453</v>
      </c>
      <c r="AO23" t="s">
        <v>523</v>
      </c>
      <c r="AP23">
        <v>35.1</v>
      </c>
      <c r="AQ23">
        <v>0.5499999999999972</v>
      </c>
      <c r="AR23" t="s">
        <v>467</v>
      </c>
      <c r="AU23" t="s">
        <v>565</v>
      </c>
      <c r="AV23" s="1" t="s">
        <v>588</v>
      </c>
      <c r="AW23" t="s">
        <v>808</v>
      </c>
      <c r="AX23" t="s">
        <v>822</v>
      </c>
    </row>
    <row r="24" spans="2:50">
      <c r="B24" t="s">
        <v>72</v>
      </c>
      <c r="E24" t="s">
        <v>336</v>
      </c>
      <c r="J24" t="s">
        <v>449</v>
      </c>
      <c r="M24">
        <v>39.6</v>
      </c>
      <c r="N24" t="s">
        <v>452</v>
      </c>
      <c r="O24" t="s">
        <v>462</v>
      </c>
      <c r="P24">
        <v>38.2</v>
      </c>
      <c r="Q24">
        <v>1.399999999999999</v>
      </c>
      <c r="R24" t="s">
        <v>466</v>
      </c>
      <c r="S24" t="s">
        <v>449</v>
      </c>
      <c r="V24">
        <v>36.39</v>
      </c>
      <c r="W24" t="s">
        <v>453</v>
      </c>
      <c r="X24" t="s">
        <v>470</v>
      </c>
      <c r="Y24">
        <v>36.3</v>
      </c>
      <c r="Z24">
        <v>0.09000000000000341</v>
      </c>
      <c r="AA24" t="s">
        <v>465</v>
      </c>
      <c r="AB24" t="s">
        <v>472</v>
      </c>
      <c r="AD24" t="s">
        <v>481</v>
      </c>
      <c r="AF24">
        <v>38.37</v>
      </c>
      <c r="AG24" t="s">
        <v>498</v>
      </c>
      <c r="AH24" t="s">
        <v>497</v>
      </c>
      <c r="AI24">
        <v>38.3</v>
      </c>
      <c r="AJ24">
        <v>0.07000000000000028</v>
      </c>
      <c r="AK24" t="s">
        <v>465</v>
      </c>
      <c r="AL24">
        <v>30</v>
      </c>
      <c r="AM24">
        <v>37.16</v>
      </c>
      <c r="AN24" t="s">
        <v>452</v>
      </c>
      <c r="AO24" t="s">
        <v>511</v>
      </c>
      <c r="AP24">
        <v>37</v>
      </c>
      <c r="AQ24">
        <v>0.1599999999999966</v>
      </c>
      <c r="AR24" t="s">
        <v>465</v>
      </c>
      <c r="AS24" t="s">
        <v>563</v>
      </c>
      <c r="AU24" t="s">
        <v>566</v>
      </c>
      <c r="AV24" s="1" t="s">
        <v>589</v>
      </c>
      <c r="AW24" t="s">
        <v>808</v>
      </c>
      <c r="AX24" t="s">
        <v>823</v>
      </c>
    </row>
    <row r="25" spans="2:50">
      <c r="B25" t="s">
        <v>73</v>
      </c>
      <c r="E25" t="s">
        <v>326</v>
      </c>
      <c r="J25" t="s">
        <v>449</v>
      </c>
      <c r="M25">
        <v>38.96</v>
      </c>
      <c r="N25" t="s">
        <v>452</v>
      </c>
      <c r="O25" t="s">
        <v>462</v>
      </c>
      <c r="P25">
        <v>38.2</v>
      </c>
      <c r="Q25">
        <v>0.759999999999998</v>
      </c>
      <c r="R25" t="s">
        <v>466</v>
      </c>
      <c r="S25" t="s">
        <v>449</v>
      </c>
      <c r="V25">
        <v>36.43</v>
      </c>
      <c r="W25" t="s">
        <v>453</v>
      </c>
      <c r="X25" t="s">
        <v>470</v>
      </c>
      <c r="Y25">
        <v>36.3</v>
      </c>
      <c r="Z25">
        <v>0.1300000000000026</v>
      </c>
      <c r="AA25" t="s">
        <v>465</v>
      </c>
      <c r="AB25" t="s">
        <v>473</v>
      </c>
      <c r="AC25" t="s">
        <v>475</v>
      </c>
      <c r="AD25" t="s">
        <v>482</v>
      </c>
      <c r="AF25">
        <v>36.46</v>
      </c>
      <c r="AG25" t="s">
        <v>457</v>
      </c>
      <c r="AH25" t="s">
        <v>505</v>
      </c>
      <c r="AI25">
        <v>38.3</v>
      </c>
      <c r="AJ25">
        <v>1.839999999999996</v>
      </c>
      <c r="AK25" t="s">
        <v>465</v>
      </c>
      <c r="AL25">
        <v>4</v>
      </c>
      <c r="AM25">
        <v>36.93</v>
      </c>
      <c r="AN25" t="s">
        <v>452</v>
      </c>
      <c r="AO25" t="s">
        <v>516</v>
      </c>
      <c r="AP25">
        <v>37</v>
      </c>
      <c r="AQ25">
        <v>0.07000000000000028</v>
      </c>
      <c r="AR25" t="s">
        <v>466</v>
      </c>
      <c r="AS25" t="s">
        <v>564</v>
      </c>
      <c r="AU25" t="s">
        <v>565</v>
      </c>
      <c r="AV25" s="1" t="s">
        <v>590</v>
      </c>
      <c r="AW25" t="s">
        <v>808</v>
      </c>
      <c r="AX25" t="s">
        <v>824</v>
      </c>
    </row>
    <row r="26" spans="2:50">
      <c r="B26" t="s">
        <v>74</v>
      </c>
      <c r="J26" t="s">
        <v>448</v>
      </c>
      <c r="K26" t="s">
        <v>450</v>
      </c>
      <c r="L26">
        <v>100</v>
      </c>
      <c r="M26">
        <v>40.7</v>
      </c>
      <c r="N26" t="s">
        <v>452</v>
      </c>
      <c r="O26" t="s">
        <v>462</v>
      </c>
      <c r="P26">
        <v>38.2</v>
      </c>
      <c r="Q26">
        <v>2.5</v>
      </c>
      <c r="R26" t="s">
        <v>465</v>
      </c>
      <c r="S26" t="s">
        <v>448</v>
      </c>
      <c r="T26" t="s">
        <v>468</v>
      </c>
      <c r="U26">
        <v>5</v>
      </c>
      <c r="V26">
        <v>38.1</v>
      </c>
      <c r="W26" t="s">
        <v>452</v>
      </c>
      <c r="X26" t="s">
        <v>470</v>
      </c>
      <c r="Y26">
        <v>36.3</v>
      </c>
      <c r="Z26">
        <v>1.800000000000004</v>
      </c>
      <c r="AA26" t="s">
        <v>465</v>
      </c>
      <c r="AB26" t="s">
        <v>472</v>
      </c>
      <c r="AD26" t="s">
        <v>477</v>
      </c>
      <c r="AF26">
        <v>37.32</v>
      </c>
      <c r="AG26" t="s">
        <v>498</v>
      </c>
      <c r="AH26" t="s">
        <v>505</v>
      </c>
      <c r="AI26">
        <v>38.3</v>
      </c>
      <c r="AJ26">
        <v>0.9799999999999969</v>
      </c>
      <c r="AK26" t="s">
        <v>465</v>
      </c>
      <c r="AL26">
        <v>20</v>
      </c>
      <c r="AM26">
        <v>36.59</v>
      </c>
      <c r="AN26" t="s">
        <v>452</v>
      </c>
      <c r="AO26" t="s">
        <v>513</v>
      </c>
      <c r="AP26">
        <v>36.3</v>
      </c>
      <c r="AQ26">
        <v>0.2900000000000063</v>
      </c>
      <c r="AR26" t="s">
        <v>465</v>
      </c>
      <c r="AS26" t="s">
        <v>448</v>
      </c>
      <c r="AT26">
        <v>5</v>
      </c>
      <c r="AU26" t="s">
        <v>565</v>
      </c>
      <c r="AV26" s="1" t="s">
        <v>591</v>
      </c>
      <c r="AW26" t="s">
        <v>808</v>
      </c>
    </row>
    <row r="27" spans="2:50">
      <c r="B27" t="s">
        <v>75</v>
      </c>
      <c r="J27" t="s">
        <v>448</v>
      </c>
      <c r="K27" t="s">
        <v>450</v>
      </c>
      <c r="L27">
        <v>100</v>
      </c>
      <c r="M27">
        <v>38.94</v>
      </c>
      <c r="N27" t="s">
        <v>452</v>
      </c>
      <c r="O27" t="s">
        <v>462</v>
      </c>
      <c r="P27">
        <v>38.2</v>
      </c>
      <c r="Q27">
        <v>0.7399999999999949</v>
      </c>
      <c r="R27" t="s">
        <v>465</v>
      </c>
      <c r="S27" t="s">
        <v>448</v>
      </c>
      <c r="T27" t="s">
        <v>468</v>
      </c>
      <c r="U27">
        <v>2</v>
      </c>
      <c r="V27">
        <v>37.14</v>
      </c>
      <c r="W27" t="s">
        <v>453</v>
      </c>
      <c r="X27" t="s">
        <v>470</v>
      </c>
      <c r="Y27">
        <v>36.3</v>
      </c>
      <c r="Z27">
        <v>0.8400000000000034</v>
      </c>
      <c r="AA27" t="s">
        <v>466</v>
      </c>
      <c r="AB27" t="s">
        <v>472</v>
      </c>
      <c r="AD27" t="s">
        <v>478</v>
      </c>
      <c r="AF27">
        <v>39.86</v>
      </c>
      <c r="AG27" t="s">
        <v>498</v>
      </c>
      <c r="AH27" t="s">
        <v>497</v>
      </c>
      <c r="AI27">
        <v>40.4</v>
      </c>
      <c r="AJ27">
        <v>0.5399999999999991</v>
      </c>
      <c r="AK27" t="s">
        <v>465</v>
      </c>
      <c r="AL27">
        <v>60</v>
      </c>
      <c r="AM27">
        <v>36.46</v>
      </c>
      <c r="AN27" t="s">
        <v>452</v>
      </c>
      <c r="AO27" t="s">
        <v>524</v>
      </c>
      <c r="AP27">
        <v>36.3</v>
      </c>
      <c r="AQ27">
        <v>0.1600000000000037</v>
      </c>
      <c r="AR27" t="s">
        <v>465</v>
      </c>
      <c r="AS27" t="s">
        <v>449</v>
      </c>
      <c r="AT27">
        <v>3</v>
      </c>
      <c r="AU27" t="s">
        <v>565</v>
      </c>
      <c r="AV27" s="1" t="s">
        <v>592</v>
      </c>
      <c r="AW27" t="s">
        <v>808</v>
      </c>
    </row>
    <row r="28" spans="2:50">
      <c r="B28" t="s">
        <v>76</v>
      </c>
      <c r="E28" t="s">
        <v>325</v>
      </c>
      <c r="J28" t="s">
        <v>449</v>
      </c>
      <c r="K28" t="s">
        <v>450</v>
      </c>
      <c r="L28">
        <v>100</v>
      </c>
      <c r="M28">
        <v>39.84</v>
      </c>
      <c r="N28" t="s">
        <v>452</v>
      </c>
      <c r="O28" t="s">
        <v>462</v>
      </c>
      <c r="P28">
        <v>38.2</v>
      </c>
      <c r="Q28">
        <v>1.640000000000001</v>
      </c>
      <c r="R28" t="s">
        <v>466</v>
      </c>
      <c r="S28" t="s">
        <v>449</v>
      </c>
      <c r="T28" t="s">
        <v>450</v>
      </c>
      <c r="U28">
        <v>100</v>
      </c>
      <c r="V28">
        <v>39.86</v>
      </c>
      <c r="W28" t="s">
        <v>453</v>
      </c>
      <c r="X28" t="s">
        <v>470</v>
      </c>
      <c r="Y28">
        <v>36.3</v>
      </c>
      <c r="Z28">
        <v>3.560000000000002</v>
      </c>
      <c r="AA28" t="s">
        <v>465</v>
      </c>
      <c r="AB28" t="s">
        <v>472</v>
      </c>
      <c r="AD28" t="s">
        <v>477</v>
      </c>
      <c r="AF28">
        <v>36.78</v>
      </c>
      <c r="AG28" t="s">
        <v>457</v>
      </c>
      <c r="AH28" t="s">
        <v>505</v>
      </c>
      <c r="AI28">
        <v>38.3</v>
      </c>
      <c r="AJ28">
        <v>1.519999999999996</v>
      </c>
      <c r="AK28" t="s">
        <v>465</v>
      </c>
      <c r="AL28">
        <v>25</v>
      </c>
      <c r="AM28">
        <v>34.64</v>
      </c>
      <c r="AN28" t="s">
        <v>453</v>
      </c>
      <c r="AO28" t="s">
        <v>510</v>
      </c>
      <c r="AP28">
        <v>35.1</v>
      </c>
      <c r="AQ28">
        <v>0.4600000000000009</v>
      </c>
      <c r="AR28" t="s">
        <v>466</v>
      </c>
      <c r="AS28" t="s">
        <v>563</v>
      </c>
      <c r="AU28" t="s">
        <v>565</v>
      </c>
      <c r="AV28" s="1" t="s">
        <v>593</v>
      </c>
      <c r="AW28" t="s">
        <v>808</v>
      </c>
      <c r="AX28" t="s">
        <v>825</v>
      </c>
    </row>
    <row r="29" spans="2:50">
      <c r="B29" t="s">
        <v>77</v>
      </c>
      <c r="J29" t="s">
        <v>448</v>
      </c>
      <c r="K29" t="s">
        <v>450</v>
      </c>
      <c r="L29">
        <v>100</v>
      </c>
      <c r="M29">
        <v>38.23</v>
      </c>
      <c r="N29" t="s">
        <v>452</v>
      </c>
      <c r="O29" t="s">
        <v>462</v>
      </c>
      <c r="P29">
        <v>38.2</v>
      </c>
      <c r="Q29">
        <v>0.02999999999999403</v>
      </c>
      <c r="R29" t="s">
        <v>465</v>
      </c>
      <c r="S29" t="s">
        <v>449</v>
      </c>
      <c r="T29" t="s">
        <v>451</v>
      </c>
      <c r="U29">
        <v>90</v>
      </c>
      <c r="V29">
        <v>39.91</v>
      </c>
      <c r="W29" t="s">
        <v>452</v>
      </c>
      <c r="X29" t="s">
        <v>470</v>
      </c>
      <c r="Y29">
        <v>36.3</v>
      </c>
      <c r="Z29">
        <v>3.609999999999999</v>
      </c>
      <c r="AA29" t="s">
        <v>466</v>
      </c>
      <c r="AB29" t="s">
        <v>472</v>
      </c>
      <c r="AD29" t="s">
        <v>480</v>
      </c>
      <c r="AF29">
        <v>36.16</v>
      </c>
      <c r="AG29" t="s">
        <v>496</v>
      </c>
      <c r="AH29" t="s">
        <v>505</v>
      </c>
      <c r="AI29">
        <v>38.3</v>
      </c>
      <c r="AJ29">
        <v>2.140000000000001</v>
      </c>
      <c r="AK29" t="s">
        <v>465</v>
      </c>
      <c r="AL29">
        <v>60</v>
      </c>
      <c r="AM29">
        <v>36.94</v>
      </c>
      <c r="AN29" t="s">
        <v>452</v>
      </c>
      <c r="AO29" t="s">
        <v>516</v>
      </c>
      <c r="AP29">
        <v>37</v>
      </c>
      <c r="AQ29">
        <v>0.06000000000000227</v>
      </c>
      <c r="AR29" t="s">
        <v>465</v>
      </c>
      <c r="AS29" t="s">
        <v>449</v>
      </c>
      <c r="AU29" t="s">
        <v>565</v>
      </c>
      <c r="AV29" s="1" t="s">
        <v>594</v>
      </c>
      <c r="AW29" t="s">
        <v>808</v>
      </c>
    </row>
    <row r="30" spans="2:50">
      <c r="B30" t="s">
        <v>78</v>
      </c>
      <c r="E30" t="s">
        <v>337</v>
      </c>
      <c r="J30" t="s">
        <v>448</v>
      </c>
      <c r="K30" t="s">
        <v>451</v>
      </c>
      <c r="L30">
        <v>85</v>
      </c>
      <c r="M30">
        <v>37.45</v>
      </c>
      <c r="N30" t="s">
        <v>453</v>
      </c>
      <c r="O30" t="s">
        <v>464</v>
      </c>
      <c r="P30">
        <v>37.1</v>
      </c>
      <c r="Q30">
        <v>0.3500000000000014</v>
      </c>
      <c r="R30" t="s">
        <v>466</v>
      </c>
      <c r="S30" t="s">
        <v>448</v>
      </c>
      <c r="T30" t="s">
        <v>451</v>
      </c>
      <c r="U30">
        <v>15</v>
      </c>
      <c r="V30">
        <v>39.78</v>
      </c>
      <c r="W30" t="s">
        <v>452</v>
      </c>
      <c r="X30" t="s">
        <v>470</v>
      </c>
      <c r="Y30">
        <v>36.3</v>
      </c>
      <c r="Z30">
        <v>3.480000000000004</v>
      </c>
      <c r="AA30" t="s">
        <v>465</v>
      </c>
      <c r="AD30" t="s">
        <v>479</v>
      </c>
      <c r="AF30">
        <v>38.28</v>
      </c>
      <c r="AG30" t="s">
        <v>496</v>
      </c>
      <c r="AH30" t="s">
        <v>505</v>
      </c>
      <c r="AI30">
        <v>38.3</v>
      </c>
      <c r="AJ30">
        <v>0.01999999999999602</v>
      </c>
      <c r="AK30" t="s">
        <v>467</v>
      </c>
      <c r="AL30">
        <v>40</v>
      </c>
      <c r="AM30">
        <v>35.81</v>
      </c>
      <c r="AN30" t="s">
        <v>453</v>
      </c>
      <c r="AO30" t="s">
        <v>514</v>
      </c>
      <c r="AP30">
        <v>36.3</v>
      </c>
      <c r="AQ30">
        <v>0.4899999999999949</v>
      </c>
      <c r="AR30" t="s">
        <v>466</v>
      </c>
      <c r="AS30" t="s">
        <v>564</v>
      </c>
      <c r="AU30" t="s">
        <v>565</v>
      </c>
      <c r="AV30" s="1" t="s">
        <v>595</v>
      </c>
      <c r="AW30" t="s">
        <v>808</v>
      </c>
      <c r="AX30" t="s">
        <v>826</v>
      </c>
    </row>
    <row r="31" spans="2:50">
      <c r="B31" t="s">
        <v>79</v>
      </c>
      <c r="E31" t="s">
        <v>338</v>
      </c>
      <c r="J31" t="s">
        <v>448</v>
      </c>
      <c r="K31" t="s">
        <v>450</v>
      </c>
      <c r="L31">
        <v>100</v>
      </c>
      <c r="M31">
        <v>40.29</v>
      </c>
      <c r="N31" t="s">
        <v>452</v>
      </c>
      <c r="O31" t="s">
        <v>462</v>
      </c>
      <c r="P31">
        <v>38.2</v>
      </c>
      <c r="Q31">
        <v>2.089999999999996</v>
      </c>
      <c r="R31" t="s">
        <v>465</v>
      </c>
      <c r="S31" t="s">
        <v>449</v>
      </c>
      <c r="T31" t="s">
        <v>468</v>
      </c>
      <c r="U31">
        <v>1</v>
      </c>
      <c r="V31">
        <v>39.83</v>
      </c>
      <c r="W31" t="s">
        <v>453</v>
      </c>
      <c r="X31" t="s">
        <v>470</v>
      </c>
      <c r="Y31">
        <v>36.3</v>
      </c>
      <c r="Z31">
        <v>3.530000000000001</v>
      </c>
      <c r="AA31" t="s">
        <v>465</v>
      </c>
      <c r="AF31">
        <v>36.22</v>
      </c>
      <c r="AG31" t="s">
        <v>457</v>
      </c>
      <c r="AH31" t="s">
        <v>505</v>
      </c>
      <c r="AI31">
        <v>38.3</v>
      </c>
      <c r="AJ31">
        <v>2.079999999999998</v>
      </c>
      <c r="AK31" t="s">
        <v>467</v>
      </c>
      <c r="AM31">
        <v>35.97</v>
      </c>
      <c r="AN31" t="s">
        <v>453</v>
      </c>
      <c r="AO31" t="s">
        <v>512</v>
      </c>
      <c r="AP31">
        <v>36.3</v>
      </c>
      <c r="AQ31">
        <v>0.3299999999999983</v>
      </c>
      <c r="AR31" t="s">
        <v>467</v>
      </c>
      <c r="AU31" t="s">
        <v>565</v>
      </c>
      <c r="AV31" s="1" t="s">
        <v>596</v>
      </c>
      <c r="AW31" t="s">
        <v>808</v>
      </c>
      <c r="AX31" t="s">
        <v>827</v>
      </c>
    </row>
    <row r="32" spans="2:50">
      <c r="B32" t="s">
        <v>80</v>
      </c>
      <c r="E32" t="s">
        <v>339</v>
      </c>
      <c r="J32" t="s">
        <v>449</v>
      </c>
      <c r="M32">
        <v>39.57</v>
      </c>
      <c r="N32" t="s">
        <v>453</v>
      </c>
      <c r="O32" t="s">
        <v>462</v>
      </c>
      <c r="P32">
        <v>38.2</v>
      </c>
      <c r="Q32">
        <v>1.369999999999997</v>
      </c>
      <c r="R32" t="s">
        <v>465</v>
      </c>
      <c r="S32" t="s">
        <v>449</v>
      </c>
      <c r="V32">
        <v>36.96</v>
      </c>
      <c r="W32" t="s">
        <v>453</v>
      </c>
      <c r="X32" t="s">
        <v>470</v>
      </c>
      <c r="Y32">
        <v>36.3</v>
      </c>
      <c r="Z32">
        <v>0.6600000000000037</v>
      </c>
      <c r="AA32" t="s">
        <v>465</v>
      </c>
      <c r="AB32" t="s">
        <v>473</v>
      </c>
      <c r="AC32" t="s">
        <v>475</v>
      </c>
      <c r="AD32" t="s">
        <v>482</v>
      </c>
      <c r="AF32">
        <v>40.58</v>
      </c>
      <c r="AG32" t="s">
        <v>454</v>
      </c>
      <c r="AH32" t="s">
        <v>506</v>
      </c>
      <c r="AI32">
        <v>40.4</v>
      </c>
      <c r="AJ32">
        <v>0.1799999999999997</v>
      </c>
      <c r="AK32" t="s">
        <v>466</v>
      </c>
      <c r="AL32">
        <v>40</v>
      </c>
      <c r="AM32">
        <v>35.98</v>
      </c>
      <c r="AN32" t="s">
        <v>453</v>
      </c>
      <c r="AO32" t="s">
        <v>512</v>
      </c>
      <c r="AP32">
        <v>36.3</v>
      </c>
      <c r="AQ32">
        <v>0.3200000000000003</v>
      </c>
      <c r="AR32" t="s">
        <v>466</v>
      </c>
      <c r="AS32" t="s">
        <v>563</v>
      </c>
      <c r="AU32" t="s">
        <v>566</v>
      </c>
      <c r="AV32" s="1" t="s">
        <v>597</v>
      </c>
      <c r="AW32" t="s">
        <v>808</v>
      </c>
      <c r="AX32" t="s">
        <v>828</v>
      </c>
    </row>
    <row r="33" spans="2:50">
      <c r="B33" t="s">
        <v>81</v>
      </c>
      <c r="E33" t="s">
        <v>340</v>
      </c>
      <c r="J33" t="s">
        <v>448</v>
      </c>
      <c r="M33">
        <v>39.02</v>
      </c>
      <c r="N33" t="s">
        <v>452</v>
      </c>
      <c r="O33" t="s">
        <v>462</v>
      </c>
      <c r="P33">
        <v>38.2</v>
      </c>
      <c r="Q33">
        <v>0.8200000000000003</v>
      </c>
      <c r="R33" t="s">
        <v>465</v>
      </c>
      <c r="S33" t="s">
        <v>449</v>
      </c>
      <c r="V33">
        <v>38.68</v>
      </c>
      <c r="W33" t="s">
        <v>452</v>
      </c>
      <c r="X33" t="s">
        <v>470</v>
      </c>
      <c r="Y33">
        <v>36.3</v>
      </c>
      <c r="Z33">
        <v>2.380000000000003</v>
      </c>
      <c r="AA33" t="s">
        <v>466</v>
      </c>
      <c r="AB33" t="s">
        <v>473</v>
      </c>
      <c r="AC33" t="s">
        <v>475</v>
      </c>
      <c r="AD33" t="s">
        <v>482</v>
      </c>
      <c r="AF33">
        <v>37.33</v>
      </c>
      <c r="AG33" t="s">
        <v>457</v>
      </c>
      <c r="AH33" t="s">
        <v>505</v>
      </c>
      <c r="AI33">
        <v>38.3</v>
      </c>
      <c r="AJ33">
        <v>0.9699999999999989</v>
      </c>
      <c r="AK33" t="s">
        <v>465</v>
      </c>
      <c r="AL33">
        <v>60</v>
      </c>
      <c r="AM33">
        <v>37.14</v>
      </c>
      <c r="AN33" t="s">
        <v>452</v>
      </c>
      <c r="AO33" t="s">
        <v>525</v>
      </c>
      <c r="AP33">
        <v>37</v>
      </c>
      <c r="AQ33">
        <v>0.1400000000000006</v>
      </c>
      <c r="AR33" t="s">
        <v>465</v>
      </c>
      <c r="AS33" t="s">
        <v>564</v>
      </c>
      <c r="AU33" t="s">
        <v>565</v>
      </c>
      <c r="AV33" s="1" t="s">
        <v>598</v>
      </c>
      <c r="AW33" t="s">
        <v>808</v>
      </c>
      <c r="AX33" t="s">
        <v>829</v>
      </c>
    </row>
    <row r="34" spans="2:50">
      <c r="B34" t="s">
        <v>82</v>
      </c>
      <c r="J34" t="s">
        <v>449</v>
      </c>
      <c r="K34" t="s">
        <v>450</v>
      </c>
      <c r="L34">
        <v>100</v>
      </c>
      <c r="M34">
        <v>40.42</v>
      </c>
      <c r="N34" t="s">
        <v>452</v>
      </c>
      <c r="O34" t="s">
        <v>462</v>
      </c>
      <c r="P34">
        <v>38.2</v>
      </c>
      <c r="Q34">
        <v>2.219999999999999</v>
      </c>
      <c r="R34" t="s">
        <v>466</v>
      </c>
      <c r="S34" t="s">
        <v>448</v>
      </c>
      <c r="T34" t="s">
        <v>468</v>
      </c>
      <c r="U34">
        <v>5</v>
      </c>
      <c r="V34">
        <v>38.93</v>
      </c>
      <c r="W34" t="s">
        <v>453</v>
      </c>
      <c r="X34" t="s">
        <v>470</v>
      </c>
      <c r="Y34">
        <v>36.3</v>
      </c>
      <c r="Z34">
        <v>2.630000000000003</v>
      </c>
      <c r="AA34" t="s">
        <v>466</v>
      </c>
      <c r="AB34" t="s">
        <v>472</v>
      </c>
      <c r="AD34" t="s">
        <v>477</v>
      </c>
      <c r="AF34">
        <v>39.06</v>
      </c>
      <c r="AG34" t="s">
        <v>457</v>
      </c>
      <c r="AH34" t="s">
        <v>497</v>
      </c>
      <c r="AI34">
        <v>38.3</v>
      </c>
      <c r="AJ34">
        <v>0.7600000000000051</v>
      </c>
      <c r="AK34" t="s">
        <v>465</v>
      </c>
      <c r="AL34">
        <v>25</v>
      </c>
      <c r="AM34">
        <v>34.95</v>
      </c>
      <c r="AN34" t="s">
        <v>453</v>
      </c>
      <c r="AO34" t="s">
        <v>510</v>
      </c>
      <c r="AP34">
        <v>35.1</v>
      </c>
      <c r="AQ34">
        <v>0.1499999999999986</v>
      </c>
      <c r="AR34" t="s">
        <v>466</v>
      </c>
      <c r="AS34" t="s">
        <v>448</v>
      </c>
      <c r="AT34">
        <v>5</v>
      </c>
      <c r="AU34" t="s">
        <v>565</v>
      </c>
      <c r="AV34" s="1" t="s">
        <v>599</v>
      </c>
      <c r="AW34" t="s">
        <v>808</v>
      </c>
    </row>
    <row r="35" spans="2:50">
      <c r="B35" t="s">
        <v>83</v>
      </c>
      <c r="J35" t="s">
        <v>448</v>
      </c>
      <c r="K35" t="s">
        <v>450</v>
      </c>
      <c r="L35">
        <v>100</v>
      </c>
      <c r="M35">
        <v>39.74</v>
      </c>
      <c r="N35" t="s">
        <v>452</v>
      </c>
      <c r="O35" t="s">
        <v>462</v>
      </c>
      <c r="P35">
        <v>38.2</v>
      </c>
      <c r="Q35">
        <v>1.539999999999999</v>
      </c>
      <c r="R35" t="s">
        <v>465</v>
      </c>
      <c r="S35" t="s">
        <v>448</v>
      </c>
      <c r="T35" t="s">
        <v>468</v>
      </c>
      <c r="U35">
        <v>2</v>
      </c>
      <c r="V35">
        <v>38.54</v>
      </c>
      <c r="W35" t="s">
        <v>452</v>
      </c>
      <c r="X35" t="s">
        <v>470</v>
      </c>
      <c r="Y35">
        <v>36.3</v>
      </c>
      <c r="Z35">
        <v>2.240000000000002</v>
      </c>
      <c r="AA35" t="s">
        <v>465</v>
      </c>
      <c r="AB35" t="s">
        <v>472</v>
      </c>
      <c r="AD35" t="s">
        <v>478</v>
      </c>
      <c r="AF35">
        <v>36.9</v>
      </c>
      <c r="AG35" t="s">
        <v>497</v>
      </c>
      <c r="AH35" t="s">
        <v>505</v>
      </c>
      <c r="AI35">
        <v>38.3</v>
      </c>
      <c r="AJ35">
        <v>1.399999999999999</v>
      </c>
      <c r="AK35" t="s">
        <v>465</v>
      </c>
      <c r="AL35">
        <v>30</v>
      </c>
      <c r="AM35">
        <v>37.52</v>
      </c>
      <c r="AN35" t="s">
        <v>452</v>
      </c>
      <c r="AO35" t="s">
        <v>526</v>
      </c>
      <c r="AP35">
        <v>37.7</v>
      </c>
      <c r="AQ35">
        <v>0.1799999999999997</v>
      </c>
      <c r="AR35" t="s">
        <v>465</v>
      </c>
      <c r="AS35" t="s">
        <v>449</v>
      </c>
      <c r="AT35">
        <v>3</v>
      </c>
      <c r="AU35" t="s">
        <v>565</v>
      </c>
      <c r="AV35" s="1" t="s">
        <v>600</v>
      </c>
      <c r="AW35" t="s">
        <v>808</v>
      </c>
    </row>
    <row r="36" spans="2:50">
      <c r="B36" t="s">
        <v>84</v>
      </c>
      <c r="E36" t="s">
        <v>325</v>
      </c>
      <c r="J36" t="s">
        <v>449</v>
      </c>
      <c r="K36" t="s">
        <v>450</v>
      </c>
      <c r="L36">
        <v>100</v>
      </c>
      <c r="M36">
        <v>40.42</v>
      </c>
      <c r="N36" t="s">
        <v>452</v>
      </c>
      <c r="O36" t="s">
        <v>462</v>
      </c>
      <c r="P36">
        <v>38.2</v>
      </c>
      <c r="Q36">
        <v>2.219999999999999</v>
      </c>
      <c r="R36" t="s">
        <v>466</v>
      </c>
      <c r="S36" t="s">
        <v>449</v>
      </c>
      <c r="T36" t="s">
        <v>450</v>
      </c>
      <c r="U36">
        <v>100</v>
      </c>
      <c r="V36">
        <v>38.1</v>
      </c>
      <c r="W36" t="s">
        <v>453</v>
      </c>
      <c r="X36" t="s">
        <v>470</v>
      </c>
      <c r="Y36">
        <v>36.3</v>
      </c>
      <c r="Z36">
        <v>1.800000000000004</v>
      </c>
      <c r="AA36" t="s">
        <v>465</v>
      </c>
      <c r="AB36" t="s">
        <v>472</v>
      </c>
      <c r="AD36" t="s">
        <v>481</v>
      </c>
      <c r="AF36">
        <v>40.16</v>
      </c>
      <c r="AG36" t="s">
        <v>454</v>
      </c>
      <c r="AH36" t="s">
        <v>497</v>
      </c>
      <c r="AI36">
        <v>40.4</v>
      </c>
      <c r="AJ36">
        <v>0.240000000000002</v>
      </c>
      <c r="AK36" t="s">
        <v>466</v>
      </c>
      <c r="AL36">
        <v>60</v>
      </c>
      <c r="AM36">
        <v>36.86</v>
      </c>
      <c r="AN36" t="s">
        <v>452</v>
      </c>
      <c r="AO36" t="s">
        <v>527</v>
      </c>
      <c r="AP36">
        <v>37</v>
      </c>
      <c r="AQ36">
        <v>0.1400000000000006</v>
      </c>
      <c r="AR36" t="s">
        <v>465</v>
      </c>
      <c r="AS36" t="s">
        <v>563</v>
      </c>
      <c r="AU36" t="s">
        <v>565</v>
      </c>
      <c r="AV36" s="1" t="s">
        <v>601</v>
      </c>
      <c r="AW36" t="s">
        <v>808</v>
      </c>
      <c r="AX36" t="s">
        <v>830</v>
      </c>
    </row>
    <row r="37" spans="2:50">
      <c r="B37" t="s">
        <v>85</v>
      </c>
      <c r="J37" t="s">
        <v>448</v>
      </c>
      <c r="K37" t="s">
        <v>450</v>
      </c>
      <c r="L37">
        <v>100</v>
      </c>
      <c r="M37">
        <v>39.06</v>
      </c>
      <c r="N37" t="s">
        <v>452</v>
      </c>
      <c r="O37" t="s">
        <v>462</v>
      </c>
      <c r="P37">
        <v>38.2</v>
      </c>
      <c r="Q37">
        <v>0.8599999999999994</v>
      </c>
      <c r="R37" t="s">
        <v>465</v>
      </c>
      <c r="S37" t="s">
        <v>448</v>
      </c>
      <c r="T37" t="s">
        <v>451</v>
      </c>
      <c r="U37">
        <v>90</v>
      </c>
      <c r="V37">
        <v>37.26</v>
      </c>
      <c r="W37" t="s">
        <v>453</v>
      </c>
      <c r="X37" t="s">
        <v>470</v>
      </c>
      <c r="Y37">
        <v>36.3</v>
      </c>
      <c r="Z37">
        <v>0.9600000000000009</v>
      </c>
      <c r="AA37" t="s">
        <v>466</v>
      </c>
      <c r="AB37" t="s">
        <v>472</v>
      </c>
      <c r="AD37" t="s">
        <v>480</v>
      </c>
      <c r="AF37">
        <v>36</v>
      </c>
      <c r="AG37" t="s">
        <v>496</v>
      </c>
      <c r="AH37" t="s">
        <v>505</v>
      </c>
      <c r="AI37">
        <v>38.3</v>
      </c>
      <c r="AJ37">
        <v>2.299999999999997</v>
      </c>
      <c r="AK37" t="s">
        <v>465</v>
      </c>
      <c r="AL37">
        <v>20</v>
      </c>
      <c r="AM37">
        <v>36.74</v>
      </c>
      <c r="AN37" t="s">
        <v>452</v>
      </c>
      <c r="AO37" t="s">
        <v>528</v>
      </c>
      <c r="AP37">
        <v>37</v>
      </c>
      <c r="AQ37">
        <v>0.259999999999998</v>
      </c>
      <c r="AR37" t="s">
        <v>465</v>
      </c>
      <c r="AS37" t="s">
        <v>449</v>
      </c>
      <c r="AU37" t="s">
        <v>565</v>
      </c>
      <c r="AV37" s="1" t="s">
        <v>602</v>
      </c>
      <c r="AW37" t="s">
        <v>808</v>
      </c>
    </row>
    <row r="38" spans="2:50">
      <c r="B38" t="s">
        <v>86</v>
      </c>
      <c r="E38" t="s">
        <v>341</v>
      </c>
      <c r="J38" t="s">
        <v>449</v>
      </c>
      <c r="K38" t="s">
        <v>451</v>
      </c>
      <c r="L38">
        <v>85</v>
      </c>
      <c r="M38">
        <v>36.17</v>
      </c>
      <c r="N38" t="s">
        <v>453</v>
      </c>
      <c r="O38" t="s">
        <v>463</v>
      </c>
      <c r="P38">
        <v>37.1</v>
      </c>
      <c r="Q38">
        <v>0.9299999999999997</v>
      </c>
      <c r="R38" t="s">
        <v>465</v>
      </c>
      <c r="S38" t="s">
        <v>448</v>
      </c>
      <c r="T38" t="s">
        <v>451</v>
      </c>
      <c r="U38">
        <v>15</v>
      </c>
      <c r="V38">
        <v>39.32</v>
      </c>
      <c r="W38" t="s">
        <v>453</v>
      </c>
      <c r="X38" t="s">
        <v>470</v>
      </c>
      <c r="Y38">
        <v>36.3</v>
      </c>
      <c r="Z38">
        <v>3.020000000000003</v>
      </c>
      <c r="AA38" t="s">
        <v>466</v>
      </c>
      <c r="AB38" t="s">
        <v>472</v>
      </c>
      <c r="AD38" t="s">
        <v>481</v>
      </c>
      <c r="AF38">
        <v>39.31</v>
      </c>
      <c r="AG38" t="s">
        <v>457</v>
      </c>
      <c r="AH38" t="s">
        <v>497</v>
      </c>
      <c r="AI38">
        <v>38.3</v>
      </c>
      <c r="AJ38">
        <v>1.010000000000005</v>
      </c>
      <c r="AK38" t="s">
        <v>465</v>
      </c>
      <c r="AL38">
        <v>30</v>
      </c>
      <c r="AM38">
        <v>37.48</v>
      </c>
      <c r="AN38" t="s">
        <v>452</v>
      </c>
      <c r="AO38" t="s">
        <v>508</v>
      </c>
      <c r="AP38">
        <v>37.7</v>
      </c>
      <c r="AQ38">
        <v>0.220000000000006</v>
      </c>
      <c r="AR38" t="s">
        <v>465</v>
      </c>
      <c r="AS38" t="s">
        <v>564</v>
      </c>
      <c r="AU38" t="s">
        <v>565</v>
      </c>
      <c r="AV38" s="1" t="s">
        <v>603</v>
      </c>
      <c r="AW38" t="s">
        <v>808</v>
      </c>
      <c r="AX38" t="s">
        <v>831</v>
      </c>
    </row>
    <row r="39" spans="2:50">
      <c r="B39" t="s">
        <v>87</v>
      </c>
      <c r="E39" t="s">
        <v>342</v>
      </c>
      <c r="J39" t="s">
        <v>448</v>
      </c>
      <c r="K39" t="s">
        <v>450</v>
      </c>
      <c r="L39">
        <v>100</v>
      </c>
      <c r="M39">
        <v>39.28</v>
      </c>
      <c r="N39" t="s">
        <v>452</v>
      </c>
      <c r="O39" t="s">
        <v>462</v>
      </c>
      <c r="P39">
        <v>38.2</v>
      </c>
      <c r="Q39">
        <v>1.079999999999998</v>
      </c>
      <c r="R39" t="s">
        <v>465</v>
      </c>
      <c r="S39" t="s">
        <v>449</v>
      </c>
      <c r="T39" t="s">
        <v>468</v>
      </c>
      <c r="U39">
        <v>1</v>
      </c>
      <c r="V39">
        <v>38.74</v>
      </c>
      <c r="W39" t="s">
        <v>453</v>
      </c>
      <c r="X39" t="s">
        <v>470</v>
      </c>
      <c r="Y39">
        <v>36.3</v>
      </c>
      <c r="Z39">
        <v>2.440000000000005</v>
      </c>
      <c r="AA39" t="s">
        <v>465</v>
      </c>
      <c r="AF39">
        <v>39.35</v>
      </c>
      <c r="AG39" t="s">
        <v>497</v>
      </c>
      <c r="AH39" t="s">
        <v>497</v>
      </c>
      <c r="AI39">
        <v>40.4</v>
      </c>
      <c r="AJ39">
        <v>1.049999999999997</v>
      </c>
      <c r="AK39" t="s">
        <v>467</v>
      </c>
      <c r="AM39">
        <v>37.24</v>
      </c>
      <c r="AN39" t="s">
        <v>452</v>
      </c>
      <c r="AO39" t="s">
        <v>519</v>
      </c>
      <c r="AP39">
        <v>37</v>
      </c>
      <c r="AQ39">
        <v>0.240000000000002</v>
      </c>
      <c r="AR39" t="s">
        <v>467</v>
      </c>
      <c r="AU39" t="s">
        <v>565</v>
      </c>
      <c r="AV39" s="1" t="s">
        <v>604</v>
      </c>
      <c r="AW39" t="s">
        <v>808</v>
      </c>
      <c r="AX39" t="s">
        <v>832</v>
      </c>
    </row>
    <row r="40" spans="2:50">
      <c r="B40" t="s">
        <v>88</v>
      </c>
      <c r="E40" t="s">
        <v>343</v>
      </c>
      <c r="J40" t="s">
        <v>449</v>
      </c>
      <c r="M40">
        <v>39.29</v>
      </c>
      <c r="N40" t="s">
        <v>453</v>
      </c>
      <c r="O40" t="s">
        <v>462</v>
      </c>
      <c r="P40">
        <v>38.2</v>
      </c>
      <c r="Q40">
        <v>1.089999999999996</v>
      </c>
      <c r="R40" t="s">
        <v>465</v>
      </c>
      <c r="S40" t="s">
        <v>449</v>
      </c>
      <c r="V40">
        <v>39.92</v>
      </c>
      <c r="W40" t="s">
        <v>452</v>
      </c>
      <c r="X40" t="s">
        <v>470</v>
      </c>
      <c r="Y40">
        <v>36.3</v>
      </c>
      <c r="Z40">
        <v>3.620000000000005</v>
      </c>
      <c r="AA40" t="s">
        <v>466</v>
      </c>
      <c r="AB40" t="s">
        <v>473</v>
      </c>
      <c r="AC40" t="s">
        <v>475</v>
      </c>
      <c r="AD40" t="s">
        <v>482</v>
      </c>
      <c r="AF40">
        <v>40.15</v>
      </c>
      <c r="AG40" t="s">
        <v>454</v>
      </c>
      <c r="AH40" t="s">
        <v>497</v>
      </c>
      <c r="AI40">
        <v>40.4</v>
      </c>
      <c r="AJ40">
        <v>0.25</v>
      </c>
      <c r="AK40" t="s">
        <v>466</v>
      </c>
      <c r="AL40">
        <v>40</v>
      </c>
      <c r="AM40">
        <v>37.33</v>
      </c>
      <c r="AN40" t="s">
        <v>452</v>
      </c>
      <c r="AO40" t="s">
        <v>529</v>
      </c>
      <c r="AP40">
        <v>37</v>
      </c>
      <c r="AQ40">
        <v>0.3299999999999983</v>
      </c>
      <c r="AR40" t="s">
        <v>465</v>
      </c>
      <c r="AS40" t="s">
        <v>563</v>
      </c>
      <c r="AU40" t="s">
        <v>566</v>
      </c>
      <c r="AV40" s="1" t="s">
        <v>605</v>
      </c>
      <c r="AW40" t="s">
        <v>808</v>
      </c>
      <c r="AX40" t="s">
        <v>833</v>
      </c>
    </row>
    <row r="41" spans="2:50">
      <c r="B41" t="s">
        <v>89</v>
      </c>
      <c r="E41" t="s">
        <v>344</v>
      </c>
      <c r="J41" t="s">
        <v>448</v>
      </c>
      <c r="M41">
        <v>39.28</v>
      </c>
      <c r="N41" t="s">
        <v>452</v>
      </c>
      <c r="O41" t="s">
        <v>462</v>
      </c>
      <c r="P41">
        <v>38.2</v>
      </c>
      <c r="Q41">
        <v>1.079999999999998</v>
      </c>
      <c r="R41" t="s">
        <v>465</v>
      </c>
      <c r="S41" t="s">
        <v>449</v>
      </c>
      <c r="V41">
        <v>39.04</v>
      </c>
      <c r="W41" t="s">
        <v>452</v>
      </c>
      <c r="X41" t="s">
        <v>470</v>
      </c>
      <c r="Y41">
        <v>36.3</v>
      </c>
      <c r="Z41">
        <v>2.740000000000002</v>
      </c>
      <c r="AA41" t="s">
        <v>466</v>
      </c>
      <c r="AD41" t="s">
        <v>479</v>
      </c>
      <c r="AF41">
        <v>38.46</v>
      </c>
      <c r="AG41" t="s">
        <v>454</v>
      </c>
      <c r="AH41" t="s">
        <v>497</v>
      </c>
      <c r="AI41">
        <v>38.3</v>
      </c>
      <c r="AJ41">
        <v>0.1600000000000037</v>
      </c>
      <c r="AK41" t="s">
        <v>467</v>
      </c>
      <c r="AL41">
        <v>50</v>
      </c>
      <c r="AM41">
        <v>36.43</v>
      </c>
      <c r="AN41" t="s">
        <v>452</v>
      </c>
      <c r="AO41" t="s">
        <v>524</v>
      </c>
      <c r="AP41">
        <v>36.3</v>
      </c>
      <c r="AQ41">
        <v>0.1300000000000026</v>
      </c>
      <c r="AR41" t="s">
        <v>465</v>
      </c>
      <c r="AS41" t="s">
        <v>564</v>
      </c>
      <c r="AU41" t="s">
        <v>565</v>
      </c>
      <c r="AV41" s="1" t="s">
        <v>606</v>
      </c>
      <c r="AW41" t="s">
        <v>808</v>
      </c>
      <c r="AX41" t="s">
        <v>834</v>
      </c>
    </row>
    <row r="42" spans="2:50">
      <c r="B42" t="s">
        <v>90</v>
      </c>
      <c r="J42" t="s">
        <v>448</v>
      </c>
      <c r="K42" t="s">
        <v>450</v>
      </c>
      <c r="L42">
        <v>100</v>
      </c>
      <c r="M42">
        <v>38.77</v>
      </c>
      <c r="N42" t="s">
        <v>453</v>
      </c>
      <c r="O42" t="s">
        <v>462</v>
      </c>
      <c r="P42">
        <v>38.2</v>
      </c>
      <c r="Q42">
        <v>0.5700000000000003</v>
      </c>
      <c r="R42" t="s">
        <v>466</v>
      </c>
      <c r="S42" t="s">
        <v>448</v>
      </c>
      <c r="T42" t="s">
        <v>468</v>
      </c>
      <c r="U42">
        <v>5</v>
      </c>
      <c r="V42">
        <v>38.74</v>
      </c>
      <c r="W42" t="s">
        <v>452</v>
      </c>
      <c r="X42" t="s">
        <v>470</v>
      </c>
      <c r="Y42">
        <v>36.3</v>
      </c>
      <c r="Z42">
        <v>2.440000000000005</v>
      </c>
      <c r="AA42" t="s">
        <v>465</v>
      </c>
      <c r="AB42" t="s">
        <v>472</v>
      </c>
      <c r="AD42" t="s">
        <v>477</v>
      </c>
      <c r="AF42">
        <v>39.89</v>
      </c>
      <c r="AG42" t="s">
        <v>457</v>
      </c>
      <c r="AH42" t="s">
        <v>497</v>
      </c>
      <c r="AI42">
        <v>40.4</v>
      </c>
      <c r="AJ42">
        <v>0.509999999999998</v>
      </c>
      <c r="AK42" t="s">
        <v>465</v>
      </c>
      <c r="AL42">
        <v>50</v>
      </c>
      <c r="AM42">
        <v>35.66</v>
      </c>
      <c r="AN42" t="s">
        <v>453</v>
      </c>
      <c r="AO42" t="s">
        <v>523</v>
      </c>
      <c r="AP42">
        <v>35.1</v>
      </c>
      <c r="AQ42">
        <v>0.5599999999999952</v>
      </c>
      <c r="AR42" t="s">
        <v>466</v>
      </c>
      <c r="AS42" t="s">
        <v>448</v>
      </c>
      <c r="AT42">
        <v>5</v>
      </c>
      <c r="AU42" t="s">
        <v>565</v>
      </c>
      <c r="AV42" s="1" t="s">
        <v>607</v>
      </c>
      <c r="AW42" t="s">
        <v>808</v>
      </c>
    </row>
    <row r="43" spans="2:50">
      <c r="B43" t="s">
        <v>91</v>
      </c>
      <c r="J43" t="s">
        <v>449</v>
      </c>
      <c r="K43" t="s">
        <v>450</v>
      </c>
      <c r="L43">
        <v>100</v>
      </c>
      <c r="M43">
        <v>40.48</v>
      </c>
      <c r="N43" t="s">
        <v>452</v>
      </c>
      <c r="O43" t="s">
        <v>462</v>
      </c>
      <c r="P43">
        <v>38.2</v>
      </c>
      <c r="Q43">
        <v>2.279999999999994</v>
      </c>
      <c r="R43" t="s">
        <v>466</v>
      </c>
      <c r="S43" t="s">
        <v>449</v>
      </c>
      <c r="T43" t="s">
        <v>468</v>
      </c>
      <c r="U43">
        <v>2</v>
      </c>
      <c r="V43">
        <v>38.96</v>
      </c>
      <c r="W43" t="s">
        <v>452</v>
      </c>
      <c r="X43" t="s">
        <v>470</v>
      </c>
      <c r="Y43">
        <v>36.3</v>
      </c>
      <c r="Z43">
        <v>2.660000000000004</v>
      </c>
      <c r="AA43" t="s">
        <v>466</v>
      </c>
      <c r="AB43" t="s">
        <v>472</v>
      </c>
      <c r="AD43" t="s">
        <v>478</v>
      </c>
      <c r="AF43">
        <v>39.72</v>
      </c>
      <c r="AG43" t="s">
        <v>497</v>
      </c>
      <c r="AH43" t="s">
        <v>497</v>
      </c>
      <c r="AI43">
        <v>40.4</v>
      </c>
      <c r="AJ43">
        <v>0.6799999999999997</v>
      </c>
      <c r="AK43" t="s">
        <v>465</v>
      </c>
      <c r="AL43">
        <v>30</v>
      </c>
      <c r="AM43">
        <v>34.6</v>
      </c>
      <c r="AN43" t="s">
        <v>453</v>
      </c>
      <c r="AO43" t="s">
        <v>510</v>
      </c>
      <c r="AP43">
        <v>35.1</v>
      </c>
      <c r="AQ43">
        <v>0.5</v>
      </c>
      <c r="AR43" t="s">
        <v>466</v>
      </c>
      <c r="AS43" t="s">
        <v>449</v>
      </c>
      <c r="AT43">
        <v>3</v>
      </c>
      <c r="AU43" t="s">
        <v>565</v>
      </c>
      <c r="AV43" s="1" t="s">
        <v>608</v>
      </c>
      <c r="AW43" t="s">
        <v>808</v>
      </c>
    </row>
    <row r="44" spans="2:50">
      <c r="B44" t="s">
        <v>92</v>
      </c>
      <c r="E44" t="s">
        <v>325</v>
      </c>
      <c r="J44" t="s">
        <v>449</v>
      </c>
      <c r="K44" t="s">
        <v>450</v>
      </c>
      <c r="L44">
        <v>100</v>
      </c>
      <c r="M44">
        <v>38.43</v>
      </c>
      <c r="N44" t="s">
        <v>453</v>
      </c>
      <c r="O44" t="s">
        <v>462</v>
      </c>
      <c r="P44">
        <v>38.2</v>
      </c>
      <c r="Q44">
        <v>0.2299999999999969</v>
      </c>
      <c r="R44" t="s">
        <v>465</v>
      </c>
      <c r="S44" t="s">
        <v>448</v>
      </c>
      <c r="T44" t="s">
        <v>450</v>
      </c>
      <c r="U44">
        <v>100</v>
      </c>
      <c r="V44">
        <v>38.5</v>
      </c>
      <c r="W44" t="s">
        <v>453</v>
      </c>
      <c r="X44" t="s">
        <v>470</v>
      </c>
      <c r="Y44">
        <v>36.3</v>
      </c>
      <c r="Z44">
        <v>2.200000000000003</v>
      </c>
      <c r="AA44" t="s">
        <v>466</v>
      </c>
      <c r="AB44" t="s">
        <v>474</v>
      </c>
      <c r="AD44" t="s">
        <v>483</v>
      </c>
      <c r="AF44">
        <v>38.58</v>
      </c>
      <c r="AG44" t="s">
        <v>497</v>
      </c>
      <c r="AH44" t="s">
        <v>497</v>
      </c>
      <c r="AI44">
        <v>38.3</v>
      </c>
      <c r="AJ44">
        <v>0.2800000000000011</v>
      </c>
      <c r="AK44" t="s">
        <v>466</v>
      </c>
      <c r="AL44">
        <v>30</v>
      </c>
      <c r="AM44">
        <v>36.98</v>
      </c>
      <c r="AN44" t="s">
        <v>452</v>
      </c>
      <c r="AO44" t="s">
        <v>530</v>
      </c>
      <c r="AP44">
        <v>37</v>
      </c>
      <c r="AQ44">
        <v>0.02000000000000313</v>
      </c>
      <c r="AR44" t="s">
        <v>465</v>
      </c>
      <c r="AS44" t="s">
        <v>563</v>
      </c>
      <c r="AU44" t="s">
        <v>565</v>
      </c>
      <c r="AV44" s="1" t="s">
        <v>609</v>
      </c>
      <c r="AW44" t="s">
        <v>808</v>
      </c>
      <c r="AX44" t="s">
        <v>835</v>
      </c>
    </row>
    <row r="45" spans="2:50">
      <c r="B45" t="s">
        <v>93</v>
      </c>
      <c r="J45" t="s">
        <v>448</v>
      </c>
      <c r="K45" t="s">
        <v>450</v>
      </c>
      <c r="L45">
        <v>100</v>
      </c>
      <c r="M45">
        <v>38.56</v>
      </c>
      <c r="N45" t="s">
        <v>452</v>
      </c>
      <c r="O45" t="s">
        <v>462</v>
      </c>
      <c r="P45">
        <v>38.2</v>
      </c>
      <c r="Q45">
        <v>0.3599999999999994</v>
      </c>
      <c r="R45" t="s">
        <v>465</v>
      </c>
      <c r="S45" t="s">
        <v>449</v>
      </c>
      <c r="T45" t="s">
        <v>451</v>
      </c>
      <c r="U45">
        <v>90</v>
      </c>
      <c r="V45">
        <v>38.08</v>
      </c>
      <c r="W45" t="s">
        <v>453</v>
      </c>
      <c r="X45" t="s">
        <v>470</v>
      </c>
      <c r="Y45">
        <v>36.3</v>
      </c>
      <c r="Z45">
        <v>1.780000000000001</v>
      </c>
      <c r="AA45" t="s">
        <v>465</v>
      </c>
      <c r="AB45" t="s">
        <v>472</v>
      </c>
      <c r="AD45" t="s">
        <v>480</v>
      </c>
      <c r="AF45">
        <v>38.18</v>
      </c>
      <c r="AG45" t="s">
        <v>454</v>
      </c>
      <c r="AH45" t="s">
        <v>505</v>
      </c>
      <c r="AI45">
        <v>38.3</v>
      </c>
      <c r="AJ45">
        <v>0.1199999999999974</v>
      </c>
      <c r="AK45" t="s">
        <v>466</v>
      </c>
      <c r="AL45">
        <v>4</v>
      </c>
      <c r="AM45">
        <v>35.72</v>
      </c>
      <c r="AN45" t="s">
        <v>453</v>
      </c>
      <c r="AO45" t="s">
        <v>521</v>
      </c>
      <c r="AP45">
        <v>36.3</v>
      </c>
      <c r="AQ45">
        <v>0.5799999999999983</v>
      </c>
      <c r="AR45" t="s">
        <v>465</v>
      </c>
      <c r="AS45" t="s">
        <v>449</v>
      </c>
      <c r="AU45" t="s">
        <v>565</v>
      </c>
      <c r="AV45" s="1" t="s">
        <v>610</v>
      </c>
      <c r="AW45" t="s">
        <v>808</v>
      </c>
    </row>
    <row r="46" spans="2:50">
      <c r="B46" t="s">
        <v>94</v>
      </c>
      <c r="E46" t="s">
        <v>345</v>
      </c>
      <c r="J46" t="s">
        <v>449</v>
      </c>
      <c r="K46" t="s">
        <v>451</v>
      </c>
      <c r="L46">
        <v>85</v>
      </c>
      <c r="M46">
        <v>39.24</v>
      </c>
      <c r="N46" t="s">
        <v>453</v>
      </c>
      <c r="O46" t="s">
        <v>462</v>
      </c>
      <c r="P46">
        <v>38.2</v>
      </c>
      <c r="Q46">
        <v>1.039999999999999</v>
      </c>
      <c r="R46" t="s">
        <v>465</v>
      </c>
      <c r="S46" t="s">
        <v>449</v>
      </c>
      <c r="T46" t="s">
        <v>451</v>
      </c>
      <c r="U46">
        <v>15</v>
      </c>
      <c r="V46">
        <v>40.6</v>
      </c>
      <c r="W46" t="s">
        <v>452</v>
      </c>
      <c r="X46" t="s">
        <v>470</v>
      </c>
      <c r="Y46">
        <v>36.3</v>
      </c>
      <c r="Z46">
        <v>4.300000000000004</v>
      </c>
      <c r="AA46" t="s">
        <v>466</v>
      </c>
      <c r="AD46" t="s">
        <v>479</v>
      </c>
      <c r="AF46">
        <v>39.09</v>
      </c>
      <c r="AG46" t="s">
        <v>496</v>
      </c>
      <c r="AH46" t="s">
        <v>497</v>
      </c>
      <c r="AI46">
        <v>38.3</v>
      </c>
      <c r="AJ46">
        <v>0.7900000000000063</v>
      </c>
      <c r="AK46" t="s">
        <v>467</v>
      </c>
      <c r="AL46">
        <v>25</v>
      </c>
      <c r="AM46">
        <v>37.77</v>
      </c>
      <c r="AN46" t="s">
        <v>452</v>
      </c>
      <c r="AO46" t="s">
        <v>515</v>
      </c>
      <c r="AP46">
        <v>37.7</v>
      </c>
      <c r="AQ46">
        <v>0.07000000000000028</v>
      </c>
      <c r="AR46" t="s">
        <v>465</v>
      </c>
      <c r="AS46" t="s">
        <v>564</v>
      </c>
      <c r="AU46" t="s">
        <v>565</v>
      </c>
      <c r="AV46" s="1" t="s">
        <v>611</v>
      </c>
      <c r="AW46" t="s">
        <v>808</v>
      </c>
      <c r="AX46" t="s">
        <v>836</v>
      </c>
    </row>
    <row r="47" spans="2:50">
      <c r="B47" t="s">
        <v>95</v>
      </c>
      <c r="E47" t="s">
        <v>346</v>
      </c>
      <c r="J47" t="s">
        <v>448</v>
      </c>
      <c r="K47" t="s">
        <v>450</v>
      </c>
      <c r="L47">
        <v>100</v>
      </c>
      <c r="M47">
        <v>37.38</v>
      </c>
      <c r="N47" t="s">
        <v>453</v>
      </c>
      <c r="O47" t="s">
        <v>464</v>
      </c>
      <c r="P47">
        <v>37.1</v>
      </c>
      <c r="Q47">
        <v>0.2800000000000011</v>
      </c>
      <c r="R47" t="s">
        <v>466</v>
      </c>
      <c r="S47" t="s">
        <v>449</v>
      </c>
      <c r="T47" t="s">
        <v>468</v>
      </c>
      <c r="U47">
        <v>1</v>
      </c>
      <c r="V47">
        <v>39.78</v>
      </c>
      <c r="W47" t="s">
        <v>452</v>
      </c>
      <c r="X47" t="s">
        <v>470</v>
      </c>
      <c r="Y47">
        <v>36.3</v>
      </c>
      <c r="Z47">
        <v>3.480000000000004</v>
      </c>
      <c r="AA47" t="s">
        <v>466</v>
      </c>
      <c r="AF47">
        <v>39.11</v>
      </c>
      <c r="AG47" t="s">
        <v>457</v>
      </c>
      <c r="AH47" t="s">
        <v>497</v>
      </c>
      <c r="AI47">
        <v>38.3</v>
      </c>
      <c r="AJ47">
        <v>0.8100000000000023</v>
      </c>
      <c r="AK47" t="s">
        <v>467</v>
      </c>
      <c r="AM47">
        <v>37.95</v>
      </c>
      <c r="AN47" t="s">
        <v>452</v>
      </c>
      <c r="AO47" t="s">
        <v>515</v>
      </c>
      <c r="AP47">
        <v>37.7</v>
      </c>
      <c r="AQ47">
        <v>0.25</v>
      </c>
      <c r="AR47" t="s">
        <v>467</v>
      </c>
      <c r="AU47" t="s">
        <v>565</v>
      </c>
      <c r="AV47" s="1" t="s">
        <v>612</v>
      </c>
      <c r="AW47" t="s">
        <v>808</v>
      </c>
      <c r="AX47" t="s">
        <v>837</v>
      </c>
    </row>
    <row r="48" spans="2:50">
      <c r="B48" t="s">
        <v>96</v>
      </c>
      <c r="E48" t="s">
        <v>347</v>
      </c>
      <c r="J48" t="s">
        <v>449</v>
      </c>
      <c r="M48">
        <v>37.67</v>
      </c>
      <c r="N48" t="s">
        <v>453</v>
      </c>
      <c r="O48" t="s">
        <v>464</v>
      </c>
      <c r="P48">
        <v>38.2</v>
      </c>
      <c r="Q48">
        <v>0.5300000000000011</v>
      </c>
      <c r="R48" t="s">
        <v>465</v>
      </c>
      <c r="S48" t="s">
        <v>449</v>
      </c>
      <c r="V48">
        <v>40.91</v>
      </c>
      <c r="W48" t="s">
        <v>452</v>
      </c>
      <c r="X48" t="s">
        <v>470</v>
      </c>
      <c r="Y48">
        <v>36.3</v>
      </c>
      <c r="Z48">
        <v>4.609999999999999</v>
      </c>
      <c r="AA48" t="s">
        <v>466</v>
      </c>
      <c r="AB48" t="s">
        <v>472</v>
      </c>
      <c r="AD48" t="s">
        <v>481</v>
      </c>
      <c r="AF48">
        <v>37.91</v>
      </c>
      <c r="AG48" t="s">
        <v>497</v>
      </c>
      <c r="AH48" t="s">
        <v>505</v>
      </c>
      <c r="AI48">
        <v>38.3</v>
      </c>
      <c r="AJ48">
        <v>0.3900000000000006</v>
      </c>
      <c r="AK48" t="s">
        <v>465</v>
      </c>
      <c r="AL48">
        <v>40</v>
      </c>
      <c r="AM48">
        <v>34.52</v>
      </c>
      <c r="AN48" t="s">
        <v>453</v>
      </c>
      <c r="AO48" t="s">
        <v>510</v>
      </c>
      <c r="AP48">
        <v>35.1</v>
      </c>
      <c r="AQ48">
        <v>0.5799999999999983</v>
      </c>
      <c r="AR48" t="s">
        <v>466</v>
      </c>
      <c r="AS48" t="s">
        <v>563</v>
      </c>
      <c r="AU48" t="s">
        <v>566</v>
      </c>
      <c r="AV48" s="1" t="s">
        <v>613</v>
      </c>
      <c r="AW48" t="s">
        <v>808</v>
      </c>
      <c r="AX48" t="s">
        <v>838</v>
      </c>
    </row>
    <row r="49" spans="2:50">
      <c r="B49" t="s">
        <v>97</v>
      </c>
      <c r="E49" t="s">
        <v>348</v>
      </c>
      <c r="J49" t="s">
        <v>449</v>
      </c>
      <c r="M49">
        <v>37.73</v>
      </c>
      <c r="N49" t="s">
        <v>453</v>
      </c>
      <c r="O49" t="s">
        <v>464</v>
      </c>
      <c r="P49">
        <v>38.2</v>
      </c>
      <c r="Q49">
        <v>0.470000000000006</v>
      </c>
      <c r="R49" t="s">
        <v>465</v>
      </c>
      <c r="S49" t="s">
        <v>449</v>
      </c>
      <c r="V49">
        <v>40.34</v>
      </c>
      <c r="W49" t="s">
        <v>452</v>
      </c>
      <c r="X49" t="s">
        <v>470</v>
      </c>
      <c r="Y49">
        <v>36.3</v>
      </c>
      <c r="Z49">
        <v>4.040000000000006</v>
      </c>
      <c r="AA49" t="s">
        <v>466</v>
      </c>
      <c r="AD49" t="s">
        <v>479</v>
      </c>
      <c r="AF49">
        <v>36.71</v>
      </c>
      <c r="AG49" t="s">
        <v>496</v>
      </c>
      <c r="AH49" t="s">
        <v>505</v>
      </c>
      <c r="AI49">
        <v>38.3</v>
      </c>
      <c r="AJ49">
        <v>1.589999999999996</v>
      </c>
      <c r="AK49" t="s">
        <v>467</v>
      </c>
      <c r="AL49">
        <v>30</v>
      </c>
      <c r="AM49">
        <v>37.31</v>
      </c>
      <c r="AN49" t="s">
        <v>452</v>
      </c>
      <c r="AO49" t="s">
        <v>531</v>
      </c>
      <c r="AP49">
        <v>37</v>
      </c>
      <c r="AQ49">
        <v>0.3100000000000023</v>
      </c>
      <c r="AR49" t="s">
        <v>465</v>
      </c>
      <c r="AS49" t="s">
        <v>564</v>
      </c>
      <c r="AU49" t="s">
        <v>565</v>
      </c>
      <c r="AV49" s="1" t="s">
        <v>614</v>
      </c>
      <c r="AW49" t="s">
        <v>808</v>
      </c>
      <c r="AX49" t="s">
        <v>839</v>
      </c>
    </row>
    <row r="50" spans="2:50">
      <c r="B50" t="s">
        <v>98</v>
      </c>
      <c r="J50" t="s">
        <v>449</v>
      </c>
      <c r="K50" t="s">
        <v>450</v>
      </c>
      <c r="L50">
        <v>100</v>
      </c>
      <c r="M50">
        <v>37.01</v>
      </c>
      <c r="N50" t="s">
        <v>453</v>
      </c>
      <c r="O50" t="s">
        <v>463</v>
      </c>
      <c r="P50">
        <v>37.1</v>
      </c>
      <c r="Q50">
        <v>0.09000000000000341</v>
      </c>
      <c r="R50" t="s">
        <v>465</v>
      </c>
      <c r="S50" t="s">
        <v>448</v>
      </c>
      <c r="T50" t="s">
        <v>468</v>
      </c>
      <c r="U50">
        <v>5</v>
      </c>
      <c r="V50">
        <v>39.83</v>
      </c>
      <c r="W50" t="s">
        <v>453</v>
      </c>
      <c r="X50" t="s">
        <v>470</v>
      </c>
      <c r="Y50">
        <v>36.3</v>
      </c>
      <c r="Z50">
        <v>3.530000000000001</v>
      </c>
      <c r="AA50" t="s">
        <v>466</v>
      </c>
      <c r="AB50" t="s">
        <v>472</v>
      </c>
      <c r="AD50" t="s">
        <v>477</v>
      </c>
      <c r="AF50">
        <v>38.06</v>
      </c>
      <c r="AG50" t="s">
        <v>454</v>
      </c>
      <c r="AH50" t="s">
        <v>505</v>
      </c>
      <c r="AI50">
        <v>38.3</v>
      </c>
      <c r="AJ50">
        <v>0.2399999999999949</v>
      </c>
      <c r="AK50" t="s">
        <v>466</v>
      </c>
      <c r="AL50">
        <v>50</v>
      </c>
      <c r="AM50">
        <v>37.55</v>
      </c>
      <c r="AN50" t="s">
        <v>452</v>
      </c>
      <c r="AO50" t="s">
        <v>532</v>
      </c>
      <c r="AP50">
        <v>37.7</v>
      </c>
      <c r="AQ50">
        <v>0.1500000000000057</v>
      </c>
      <c r="AR50" t="s">
        <v>465</v>
      </c>
      <c r="AS50" t="s">
        <v>448</v>
      </c>
      <c r="AT50">
        <v>5</v>
      </c>
      <c r="AU50" t="s">
        <v>565</v>
      </c>
      <c r="AV50" s="1" t="s">
        <v>615</v>
      </c>
      <c r="AW50" t="s">
        <v>808</v>
      </c>
    </row>
    <row r="51" spans="2:50">
      <c r="B51" t="s">
        <v>99</v>
      </c>
      <c r="J51" t="s">
        <v>449</v>
      </c>
      <c r="K51" t="s">
        <v>450</v>
      </c>
      <c r="L51">
        <v>100</v>
      </c>
      <c r="M51">
        <v>38.08</v>
      </c>
      <c r="N51" t="s">
        <v>452</v>
      </c>
      <c r="O51" t="s">
        <v>464</v>
      </c>
      <c r="P51">
        <v>38.2</v>
      </c>
      <c r="Q51">
        <v>0.1200000000000045</v>
      </c>
      <c r="R51" t="s">
        <v>466</v>
      </c>
      <c r="S51" t="s">
        <v>449</v>
      </c>
      <c r="T51" t="s">
        <v>468</v>
      </c>
      <c r="U51">
        <v>2</v>
      </c>
      <c r="V51">
        <v>39.9</v>
      </c>
      <c r="W51" t="s">
        <v>452</v>
      </c>
      <c r="X51" t="s">
        <v>470</v>
      </c>
      <c r="Y51">
        <v>36.3</v>
      </c>
      <c r="Z51">
        <v>3.600000000000001</v>
      </c>
      <c r="AA51" t="s">
        <v>466</v>
      </c>
      <c r="AB51" t="s">
        <v>472</v>
      </c>
      <c r="AD51" t="s">
        <v>478</v>
      </c>
      <c r="AF51">
        <v>39.04</v>
      </c>
      <c r="AG51" t="s">
        <v>497</v>
      </c>
      <c r="AH51" t="s">
        <v>497</v>
      </c>
      <c r="AI51">
        <v>38.3</v>
      </c>
      <c r="AJ51">
        <v>0.740000000000002</v>
      </c>
      <c r="AK51" t="s">
        <v>465</v>
      </c>
      <c r="AL51">
        <v>4</v>
      </c>
      <c r="AM51">
        <v>35.39</v>
      </c>
      <c r="AN51" t="s">
        <v>453</v>
      </c>
      <c r="AO51" t="s">
        <v>533</v>
      </c>
      <c r="AP51">
        <v>35.1</v>
      </c>
      <c r="AQ51">
        <v>0.2899999999999991</v>
      </c>
      <c r="AR51" t="s">
        <v>465</v>
      </c>
      <c r="AS51" t="s">
        <v>449</v>
      </c>
      <c r="AT51">
        <v>3</v>
      </c>
      <c r="AU51" t="s">
        <v>565</v>
      </c>
      <c r="AV51" s="1" t="s">
        <v>616</v>
      </c>
      <c r="AW51" t="s">
        <v>808</v>
      </c>
    </row>
    <row r="52" spans="2:50">
      <c r="B52" t="s">
        <v>100</v>
      </c>
      <c r="E52" t="s">
        <v>325</v>
      </c>
      <c r="J52" t="s">
        <v>448</v>
      </c>
      <c r="K52" t="s">
        <v>450</v>
      </c>
      <c r="L52">
        <v>100</v>
      </c>
      <c r="M52">
        <v>36.18</v>
      </c>
      <c r="N52" t="s">
        <v>453</v>
      </c>
      <c r="O52" t="s">
        <v>463</v>
      </c>
      <c r="P52">
        <v>37.1</v>
      </c>
      <c r="Q52">
        <v>0.9200000000000017</v>
      </c>
      <c r="R52" t="s">
        <v>466</v>
      </c>
      <c r="S52" t="s">
        <v>448</v>
      </c>
      <c r="T52" t="s">
        <v>450</v>
      </c>
      <c r="U52">
        <v>100</v>
      </c>
      <c r="V52">
        <v>38.4</v>
      </c>
      <c r="W52" t="s">
        <v>452</v>
      </c>
      <c r="X52" t="s">
        <v>470</v>
      </c>
      <c r="Y52">
        <v>36.3</v>
      </c>
      <c r="Z52">
        <v>2.100000000000001</v>
      </c>
      <c r="AA52" t="s">
        <v>465</v>
      </c>
      <c r="AB52" t="s">
        <v>472</v>
      </c>
      <c r="AD52" t="s">
        <v>481</v>
      </c>
      <c r="AF52">
        <v>38.66</v>
      </c>
      <c r="AG52" t="s">
        <v>454</v>
      </c>
      <c r="AH52" t="s">
        <v>497</v>
      </c>
      <c r="AI52">
        <v>38.3</v>
      </c>
      <c r="AJ52">
        <v>0.3599999999999994</v>
      </c>
      <c r="AK52" t="s">
        <v>466</v>
      </c>
      <c r="AL52">
        <v>40</v>
      </c>
      <c r="AM52">
        <v>37.53</v>
      </c>
      <c r="AN52" t="s">
        <v>452</v>
      </c>
      <c r="AO52" t="s">
        <v>534</v>
      </c>
      <c r="AP52">
        <v>37.7</v>
      </c>
      <c r="AQ52">
        <v>0.1700000000000017</v>
      </c>
      <c r="AR52" t="s">
        <v>465</v>
      </c>
      <c r="AS52" t="s">
        <v>563</v>
      </c>
      <c r="AU52" t="s">
        <v>565</v>
      </c>
      <c r="AV52" s="1" t="s">
        <v>617</v>
      </c>
      <c r="AW52" t="s">
        <v>808</v>
      </c>
      <c r="AX52" t="s">
        <v>832</v>
      </c>
    </row>
    <row r="53" spans="2:50">
      <c r="B53" t="s">
        <v>101</v>
      </c>
      <c r="J53" t="s">
        <v>448</v>
      </c>
      <c r="K53" t="s">
        <v>450</v>
      </c>
      <c r="L53">
        <v>100</v>
      </c>
      <c r="M53">
        <v>38.68</v>
      </c>
      <c r="N53" t="s">
        <v>452</v>
      </c>
      <c r="O53" t="s">
        <v>462</v>
      </c>
      <c r="P53">
        <v>38.2</v>
      </c>
      <c r="Q53">
        <v>0.4799999999999969</v>
      </c>
      <c r="R53" t="s">
        <v>465</v>
      </c>
      <c r="S53" t="s">
        <v>449</v>
      </c>
      <c r="T53" t="s">
        <v>451</v>
      </c>
      <c r="U53">
        <v>90</v>
      </c>
      <c r="V53">
        <v>39.75</v>
      </c>
      <c r="W53" t="s">
        <v>452</v>
      </c>
      <c r="X53" t="s">
        <v>470</v>
      </c>
      <c r="Y53">
        <v>36.3</v>
      </c>
      <c r="Z53">
        <v>3.450000000000003</v>
      </c>
      <c r="AA53" t="s">
        <v>466</v>
      </c>
      <c r="AB53" t="s">
        <v>472</v>
      </c>
      <c r="AD53" t="s">
        <v>480</v>
      </c>
      <c r="AF53">
        <v>36.92</v>
      </c>
      <c r="AG53" t="s">
        <v>498</v>
      </c>
      <c r="AH53" t="s">
        <v>505</v>
      </c>
      <c r="AI53">
        <v>38.3</v>
      </c>
      <c r="AJ53">
        <v>1.379999999999995</v>
      </c>
      <c r="AK53" t="s">
        <v>465</v>
      </c>
      <c r="AL53">
        <v>60</v>
      </c>
      <c r="AM53">
        <v>37.36</v>
      </c>
      <c r="AN53" t="s">
        <v>452</v>
      </c>
      <c r="AO53" t="s">
        <v>535</v>
      </c>
      <c r="AP53">
        <v>37.7</v>
      </c>
      <c r="AQ53">
        <v>0.3400000000000034</v>
      </c>
      <c r="AR53" t="s">
        <v>465</v>
      </c>
      <c r="AS53" t="s">
        <v>449</v>
      </c>
      <c r="AU53" t="s">
        <v>565</v>
      </c>
      <c r="AV53" s="1" t="s">
        <v>618</v>
      </c>
      <c r="AW53" t="s">
        <v>808</v>
      </c>
    </row>
    <row r="54" spans="2:50">
      <c r="B54" t="s">
        <v>102</v>
      </c>
      <c r="E54" t="s">
        <v>349</v>
      </c>
      <c r="J54" t="s">
        <v>448</v>
      </c>
      <c r="K54" t="s">
        <v>451</v>
      </c>
      <c r="L54">
        <v>85</v>
      </c>
      <c r="M54">
        <v>38.65</v>
      </c>
      <c r="N54" t="s">
        <v>452</v>
      </c>
      <c r="O54" t="s">
        <v>462</v>
      </c>
      <c r="P54">
        <v>38.2</v>
      </c>
      <c r="Q54">
        <v>0.4499999999999957</v>
      </c>
      <c r="R54" t="s">
        <v>465</v>
      </c>
      <c r="S54" t="s">
        <v>449</v>
      </c>
      <c r="T54" t="s">
        <v>451</v>
      </c>
      <c r="U54">
        <v>15</v>
      </c>
      <c r="V54">
        <v>37.87</v>
      </c>
      <c r="W54" t="s">
        <v>453</v>
      </c>
      <c r="X54" t="s">
        <v>470</v>
      </c>
      <c r="Y54">
        <v>36.3</v>
      </c>
      <c r="Z54">
        <v>1.57</v>
      </c>
      <c r="AA54" t="s">
        <v>465</v>
      </c>
      <c r="AD54" t="s">
        <v>479</v>
      </c>
      <c r="AF54">
        <v>39.84</v>
      </c>
      <c r="AG54" t="s">
        <v>497</v>
      </c>
      <c r="AH54" t="s">
        <v>497</v>
      </c>
      <c r="AI54">
        <v>40.4</v>
      </c>
      <c r="AJ54">
        <v>0.5599999999999952</v>
      </c>
      <c r="AK54" t="s">
        <v>467</v>
      </c>
      <c r="AL54">
        <v>15</v>
      </c>
      <c r="AM54">
        <v>37.54</v>
      </c>
      <c r="AN54" t="s">
        <v>452</v>
      </c>
      <c r="AO54" t="s">
        <v>534</v>
      </c>
      <c r="AP54">
        <v>37.7</v>
      </c>
      <c r="AQ54">
        <v>0.1600000000000037</v>
      </c>
      <c r="AR54" t="s">
        <v>466</v>
      </c>
      <c r="AS54" t="s">
        <v>564</v>
      </c>
      <c r="AU54" t="s">
        <v>565</v>
      </c>
      <c r="AV54" s="1" t="s">
        <v>619</v>
      </c>
      <c r="AW54" t="s">
        <v>808</v>
      </c>
      <c r="AX54" t="s">
        <v>840</v>
      </c>
    </row>
    <row r="55" spans="2:50">
      <c r="B55" t="s">
        <v>103</v>
      </c>
      <c r="E55" t="s">
        <v>350</v>
      </c>
      <c r="J55" t="s">
        <v>448</v>
      </c>
      <c r="K55" t="s">
        <v>450</v>
      </c>
      <c r="L55">
        <v>100</v>
      </c>
      <c r="M55">
        <v>39.78</v>
      </c>
      <c r="N55" t="s">
        <v>453</v>
      </c>
      <c r="O55" t="s">
        <v>462</v>
      </c>
      <c r="P55">
        <v>38.2</v>
      </c>
      <c r="Q55">
        <v>1.579999999999998</v>
      </c>
      <c r="R55" t="s">
        <v>466</v>
      </c>
      <c r="S55" t="s">
        <v>449</v>
      </c>
      <c r="T55" t="s">
        <v>468</v>
      </c>
      <c r="U55">
        <v>1</v>
      </c>
      <c r="V55">
        <v>40.47</v>
      </c>
      <c r="W55" t="s">
        <v>452</v>
      </c>
      <c r="X55" t="s">
        <v>470</v>
      </c>
      <c r="Y55">
        <v>36.3</v>
      </c>
      <c r="Z55">
        <v>4.170000000000002</v>
      </c>
      <c r="AA55" t="s">
        <v>466</v>
      </c>
      <c r="AF55">
        <v>39.46</v>
      </c>
      <c r="AG55" t="s">
        <v>496</v>
      </c>
      <c r="AH55" t="s">
        <v>497</v>
      </c>
      <c r="AI55">
        <v>40.4</v>
      </c>
      <c r="AJ55">
        <v>0.9399999999999977</v>
      </c>
      <c r="AK55" t="s">
        <v>467</v>
      </c>
      <c r="AM55">
        <v>37.02</v>
      </c>
      <c r="AN55" t="s">
        <v>452</v>
      </c>
      <c r="AO55" t="s">
        <v>536</v>
      </c>
      <c r="AP55">
        <v>37</v>
      </c>
      <c r="AQ55">
        <v>0.02000000000000313</v>
      </c>
      <c r="AR55" t="s">
        <v>467</v>
      </c>
      <c r="AU55" t="s">
        <v>565</v>
      </c>
      <c r="AV55" s="1" t="s">
        <v>620</v>
      </c>
      <c r="AW55" t="s">
        <v>808</v>
      </c>
      <c r="AX55" t="s">
        <v>841</v>
      </c>
    </row>
    <row r="56" spans="2:50">
      <c r="B56" t="s">
        <v>104</v>
      </c>
      <c r="E56" t="s">
        <v>351</v>
      </c>
      <c r="J56" t="s">
        <v>448</v>
      </c>
      <c r="M56">
        <v>40.09</v>
      </c>
      <c r="N56" t="s">
        <v>452</v>
      </c>
      <c r="O56" t="s">
        <v>462</v>
      </c>
      <c r="P56">
        <v>38.2</v>
      </c>
      <c r="Q56">
        <v>1.890000000000001</v>
      </c>
      <c r="R56" t="s">
        <v>465</v>
      </c>
      <c r="S56" t="s">
        <v>449</v>
      </c>
      <c r="V56">
        <v>40.33</v>
      </c>
      <c r="W56" t="s">
        <v>452</v>
      </c>
      <c r="X56" t="s">
        <v>470</v>
      </c>
      <c r="Y56">
        <v>36.3</v>
      </c>
      <c r="Z56">
        <v>4.030000000000001</v>
      </c>
      <c r="AA56" t="s">
        <v>466</v>
      </c>
      <c r="AB56" t="s">
        <v>473</v>
      </c>
      <c r="AC56" t="s">
        <v>475</v>
      </c>
      <c r="AD56" t="s">
        <v>482</v>
      </c>
      <c r="AF56">
        <v>37.5</v>
      </c>
      <c r="AG56" t="s">
        <v>457</v>
      </c>
      <c r="AH56" t="s">
        <v>505</v>
      </c>
      <c r="AI56">
        <v>38.3</v>
      </c>
      <c r="AJ56">
        <v>0.7999999999999972</v>
      </c>
      <c r="AK56" t="s">
        <v>465</v>
      </c>
      <c r="AL56">
        <v>40</v>
      </c>
      <c r="AM56">
        <v>37.66</v>
      </c>
      <c r="AN56" t="s">
        <v>452</v>
      </c>
      <c r="AO56" t="s">
        <v>537</v>
      </c>
      <c r="AP56">
        <v>37.7</v>
      </c>
      <c r="AQ56">
        <v>0.04000000000000625</v>
      </c>
      <c r="AR56" t="s">
        <v>465</v>
      </c>
      <c r="AS56" t="s">
        <v>563</v>
      </c>
      <c r="AU56" t="s">
        <v>566</v>
      </c>
      <c r="AV56" s="1" t="s">
        <v>621</v>
      </c>
      <c r="AW56" t="s">
        <v>808</v>
      </c>
      <c r="AX56" t="s">
        <v>842</v>
      </c>
    </row>
    <row r="57" spans="2:50">
      <c r="B57" t="s">
        <v>105</v>
      </c>
      <c r="E57" t="s">
        <v>352</v>
      </c>
      <c r="J57" t="s">
        <v>448</v>
      </c>
      <c r="M57">
        <v>40.26</v>
      </c>
      <c r="N57" t="s">
        <v>452</v>
      </c>
      <c r="O57" t="s">
        <v>462</v>
      </c>
      <c r="P57">
        <v>38.2</v>
      </c>
      <c r="Q57">
        <v>2.059999999999995</v>
      </c>
      <c r="R57" t="s">
        <v>465</v>
      </c>
      <c r="S57" t="s">
        <v>449</v>
      </c>
      <c r="V57">
        <v>39.46</v>
      </c>
      <c r="W57" t="s">
        <v>453</v>
      </c>
      <c r="X57" t="s">
        <v>470</v>
      </c>
      <c r="Y57">
        <v>36.3</v>
      </c>
      <c r="Z57">
        <v>3.160000000000004</v>
      </c>
      <c r="AA57" t="s">
        <v>465</v>
      </c>
      <c r="AB57" t="s">
        <v>474</v>
      </c>
      <c r="AD57" t="s">
        <v>483</v>
      </c>
      <c r="AF57">
        <v>36.95</v>
      </c>
      <c r="AG57" t="s">
        <v>457</v>
      </c>
      <c r="AH57" t="s">
        <v>505</v>
      </c>
      <c r="AI57">
        <v>38.3</v>
      </c>
      <c r="AJ57">
        <v>1.349999999999994</v>
      </c>
      <c r="AK57" t="s">
        <v>466</v>
      </c>
      <c r="AL57">
        <v>30</v>
      </c>
      <c r="AM57">
        <v>36.57</v>
      </c>
      <c r="AN57" t="s">
        <v>452</v>
      </c>
      <c r="AO57" t="s">
        <v>513</v>
      </c>
      <c r="AP57">
        <v>36.3</v>
      </c>
      <c r="AQ57">
        <v>0.2700000000000031</v>
      </c>
      <c r="AR57" t="s">
        <v>465</v>
      </c>
      <c r="AS57" t="s">
        <v>564</v>
      </c>
      <c r="AU57" t="s">
        <v>565</v>
      </c>
      <c r="AV57" s="1" t="s">
        <v>622</v>
      </c>
      <c r="AW57" t="s">
        <v>808</v>
      </c>
      <c r="AX57" t="s">
        <v>826</v>
      </c>
    </row>
    <row r="58" spans="2:50">
      <c r="B58" t="s">
        <v>106</v>
      </c>
      <c r="J58" t="s">
        <v>448</v>
      </c>
      <c r="K58" t="s">
        <v>450</v>
      </c>
      <c r="L58">
        <v>100</v>
      </c>
      <c r="M58">
        <v>38.23</v>
      </c>
      <c r="N58" t="s">
        <v>452</v>
      </c>
      <c r="O58" t="s">
        <v>462</v>
      </c>
      <c r="P58">
        <v>38.2</v>
      </c>
      <c r="Q58">
        <v>0.02999999999999403</v>
      </c>
      <c r="R58" t="s">
        <v>465</v>
      </c>
      <c r="S58" t="s">
        <v>448</v>
      </c>
      <c r="T58" t="s">
        <v>468</v>
      </c>
      <c r="U58">
        <v>5</v>
      </c>
      <c r="V58">
        <v>38.23</v>
      </c>
      <c r="W58" t="s">
        <v>453</v>
      </c>
      <c r="X58" t="s">
        <v>470</v>
      </c>
      <c r="Y58">
        <v>36.3</v>
      </c>
      <c r="Z58">
        <v>1.93</v>
      </c>
      <c r="AA58" t="s">
        <v>466</v>
      </c>
      <c r="AB58" t="s">
        <v>472</v>
      </c>
      <c r="AD58" t="s">
        <v>477</v>
      </c>
      <c r="AF58">
        <v>37.77</v>
      </c>
      <c r="AG58" t="s">
        <v>496</v>
      </c>
      <c r="AH58" t="s">
        <v>505</v>
      </c>
      <c r="AI58">
        <v>38.3</v>
      </c>
      <c r="AJ58">
        <v>0.529999999999994</v>
      </c>
      <c r="AK58" t="s">
        <v>465</v>
      </c>
      <c r="AL58">
        <v>4</v>
      </c>
      <c r="AM58">
        <v>34.86</v>
      </c>
      <c r="AN58" t="s">
        <v>453</v>
      </c>
      <c r="AO58" t="s">
        <v>510</v>
      </c>
      <c r="AP58">
        <v>35.1</v>
      </c>
      <c r="AQ58">
        <v>0.240000000000002</v>
      </c>
      <c r="AR58" t="s">
        <v>465</v>
      </c>
      <c r="AS58" t="s">
        <v>448</v>
      </c>
      <c r="AT58">
        <v>5</v>
      </c>
      <c r="AU58" t="s">
        <v>565</v>
      </c>
      <c r="AV58" s="1" t="s">
        <v>623</v>
      </c>
      <c r="AW58" t="s">
        <v>808</v>
      </c>
    </row>
    <row r="59" spans="2:50">
      <c r="B59" t="s">
        <v>107</v>
      </c>
      <c r="J59" t="s">
        <v>449</v>
      </c>
      <c r="K59" t="s">
        <v>450</v>
      </c>
      <c r="L59">
        <v>100</v>
      </c>
      <c r="M59">
        <v>38.3</v>
      </c>
      <c r="N59" t="s">
        <v>453</v>
      </c>
      <c r="O59" t="s">
        <v>462</v>
      </c>
      <c r="P59">
        <v>38.2</v>
      </c>
      <c r="Q59">
        <v>0.09999999999999432</v>
      </c>
      <c r="R59" t="s">
        <v>465</v>
      </c>
      <c r="S59" t="s">
        <v>448</v>
      </c>
      <c r="T59" t="s">
        <v>468</v>
      </c>
      <c r="U59">
        <v>2</v>
      </c>
      <c r="V59">
        <v>36.47</v>
      </c>
      <c r="W59" t="s">
        <v>453</v>
      </c>
      <c r="X59" t="s">
        <v>470</v>
      </c>
      <c r="Y59">
        <v>36.3</v>
      </c>
      <c r="Z59">
        <v>0.1700000000000017</v>
      </c>
      <c r="AA59" t="s">
        <v>466</v>
      </c>
      <c r="AB59" t="s">
        <v>472</v>
      </c>
      <c r="AD59" t="s">
        <v>478</v>
      </c>
      <c r="AF59">
        <v>38.22</v>
      </c>
      <c r="AG59" t="s">
        <v>498</v>
      </c>
      <c r="AH59" t="s">
        <v>505</v>
      </c>
      <c r="AI59">
        <v>38.3</v>
      </c>
      <c r="AJ59">
        <v>0.07999999999999829</v>
      </c>
      <c r="AK59" t="s">
        <v>465</v>
      </c>
      <c r="AL59">
        <v>60</v>
      </c>
      <c r="AM59">
        <v>37.72</v>
      </c>
      <c r="AN59" t="s">
        <v>452</v>
      </c>
      <c r="AO59" t="s">
        <v>515</v>
      </c>
      <c r="AP59">
        <v>37.7</v>
      </c>
      <c r="AQ59">
        <v>0.01999999999999602</v>
      </c>
      <c r="AR59" t="s">
        <v>465</v>
      </c>
      <c r="AS59" t="s">
        <v>449</v>
      </c>
      <c r="AT59">
        <v>3</v>
      </c>
      <c r="AU59" t="s">
        <v>565</v>
      </c>
      <c r="AV59" s="1" t="s">
        <v>624</v>
      </c>
      <c r="AW59" t="s">
        <v>808</v>
      </c>
    </row>
    <row r="60" spans="2:50">
      <c r="B60" t="s">
        <v>108</v>
      </c>
      <c r="E60" t="s">
        <v>325</v>
      </c>
      <c r="J60" t="s">
        <v>448</v>
      </c>
      <c r="K60" t="s">
        <v>450</v>
      </c>
      <c r="L60">
        <v>100</v>
      </c>
      <c r="M60">
        <v>38.06</v>
      </c>
      <c r="N60" t="s">
        <v>453</v>
      </c>
      <c r="O60" t="s">
        <v>464</v>
      </c>
      <c r="P60">
        <v>38.2</v>
      </c>
      <c r="Q60">
        <v>0.1400000000000006</v>
      </c>
      <c r="R60" t="s">
        <v>466</v>
      </c>
      <c r="S60" t="s">
        <v>449</v>
      </c>
      <c r="T60" t="s">
        <v>450</v>
      </c>
      <c r="U60">
        <v>100</v>
      </c>
      <c r="V60">
        <v>36.35</v>
      </c>
      <c r="W60" t="s">
        <v>453</v>
      </c>
      <c r="X60" t="s">
        <v>470</v>
      </c>
      <c r="Y60">
        <v>36.3</v>
      </c>
      <c r="Z60">
        <v>0.05000000000000426</v>
      </c>
      <c r="AA60" t="s">
        <v>465</v>
      </c>
      <c r="AB60" t="s">
        <v>474</v>
      </c>
      <c r="AD60" t="s">
        <v>483</v>
      </c>
      <c r="AF60">
        <v>36.51</v>
      </c>
      <c r="AG60" t="s">
        <v>457</v>
      </c>
      <c r="AH60" t="s">
        <v>505</v>
      </c>
      <c r="AI60">
        <v>38.3</v>
      </c>
      <c r="AJ60">
        <v>1.789999999999999</v>
      </c>
      <c r="AK60" t="s">
        <v>466</v>
      </c>
      <c r="AL60">
        <v>50</v>
      </c>
      <c r="AM60">
        <v>36.54</v>
      </c>
      <c r="AN60" t="s">
        <v>452</v>
      </c>
      <c r="AO60" t="s">
        <v>538</v>
      </c>
      <c r="AP60">
        <v>36.3</v>
      </c>
      <c r="AQ60">
        <v>0.240000000000002</v>
      </c>
      <c r="AR60" t="s">
        <v>465</v>
      </c>
      <c r="AS60" t="s">
        <v>563</v>
      </c>
      <c r="AU60" t="s">
        <v>565</v>
      </c>
      <c r="AV60" s="1" t="s">
        <v>625</v>
      </c>
      <c r="AW60" t="s">
        <v>808</v>
      </c>
      <c r="AX60" t="s">
        <v>843</v>
      </c>
    </row>
    <row r="61" spans="2:50">
      <c r="B61" t="s">
        <v>109</v>
      </c>
      <c r="J61" t="s">
        <v>448</v>
      </c>
      <c r="K61" t="s">
        <v>450</v>
      </c>
      <c r="L61">
        <v>100</v>
      </c>
      <c r="M61">
        <v>36.08</v>
      </c>
      <c r="N61" t="s">
        <v>453</v>
      </c>
      <c r="O61" t="s">
        <v>463</v>
      </c>
      <c r="P61">
        <v>37.1</v>
      </c>
      <c r="Q61">
        <v>1.020000000000003</v>
      </c>
      <c r="R61" t="s">
        <v>466</v>
      </c>
      <c r="S61" t="s">
        <v>448</v>
      </c>
      <c r="T61" t="s">
        <v>451</v>
      </c>
      <c r="U61">
        <v>90</v>
      </c>
      <c r="V61">
        <v>36.23</v>
      </c>
      <c r="W61" t="s">
        <v>453</v>
      </c>
      <c r="X61" t="s">
        <v>471</v>
      </c>
      <c r="Y61">
        <v>36.3</v>
      </c>
      <c r="Z61">
        <v>0.07000000000000028</v>
      </c>
      <c r="AA61" t="s">
        <v>466</v>
      </c>
      <c r="AB61" t="s">
        <v>472</v>
      </c>
      <c r="AD61" t="s">
        <v>480</v>
      </c>
      <c r="AF61">
        <v>36.86</v>
      </c>
      <c r="AG61" t="s">
        <v>457</v>
      </c>
      <c r="AH61" t="s">
        <v>505</v>
      </c>
      <c r="AI61">
        <v>38.3</v>
      </c>
      <c r="AJ61">
        <v>1.439999999999998</v>
      </c>
      <c r="AK61" t="s">
        <v>465</v>
      </c>
      <c r="AL61">
        <v>50</v>
      </c>
      <c r="AM61">
        <v>37.97</v>
      </c>
      <c r="AN61" t="s">
        <v>452</v>
      </c>
      <c r="AO61" t="s">
        <v>515</v>
      </c>
      <c r="AP61">
        <v>37.7</v>
      </c>
      <c r="AQ61">
        <v>0.269999999999996</v>
      </c>
      <c r="AR61" t="s">
        <v>465</v>
      </c>
      <c r="AS61" t="s">
        <v>449</v>
      </c>
      <c r="AU61" t="s">
        <v>565</v>
      </c>
      <c r="AV61" s="1" t="s">
        <v>626</v>
      </c>
      <c r="AW61" t="s">
        <v>808</v>
      </c>
    </row>
    <row r="62" spans="2:50">
      <c r="B62" t="s">
        <v>110</v>
      </c>
      <c r="E62" t="s">
        <v>353</v>
      </c>
      <c r="J62" t="s">
        <v>449</v>
      </c>
      <c r="K62" t="s">
        <v>451</v>
      </c>
      <c r="L62">
        <v>85</v>
      </c>
      <c r="M62">
        <v>39.52</v>
      </c>
      <c r="N62" t="s">
        <v>452</v>
      </c>
      <c r="O62" t="s">
        <v>462</v>
      </c>
      <c r="P62">
        <v>38.2</v>
      </c>
      <c r="Q62">
        <v>1.32</v>
      </c>
      <c r="R62" t="s">
        <v>466</v>
      </c>
      <c r="S62" t="s">
        <v>448</v>
      </c>
      <c r="T62" t="s">
        <v>451</v>
      </c>
      <c r="U62">
        <v>15</v>
      </c>
      <c r="V62">
        <v>36.58</v>
      </c>
      <c r="W62" t="s">
        <v>453</v>
      </c>
      <c r="X62" t="s">
        <v>470</v>
      </c>
      <c r="Y62">
        <v>36.3</v>
      </c>
      <c r="Z62">
        <v>0.2800000000000011</v>
      </c>
      <c r="AA62" t="s">
        <v>466</v>
      </c>
      <c r="AD62" t="s">
        <v>479</v>
      </c>
      <c r="AF62">
        <v>38.3</v>
      </c>
      <c r="AG62" t="s">
        <v>498</v>
      </c>
      <c r="AH62" t="s">
        <v>497</v>
      </c>
      <c r="AI62">
        <v>38.3</v>
      </c>
      <c r="AJ62">
        <v>0</v>
      </c>
      <c r="AK62" t="s">
        <v>467</v>
      </c>
      <c r="AL62">
        <v>10</v>
      </c>
      <c r="AM62">
        <v>37.1</v>
      </c>
      <c r="AN62" t="s">
        <v>452</v>
      </c>
      <c r="AO62" t="s">
        <v>539</v>
      </c>
      <c r="AP62">
        <v>37</v>
      </c>
      <c r="AQ62">
        <v>0.1000000000000014</v>
      </c>
      <c r="AR62" t="s">
        <v>466</v>
      </c>
      <c r="AS62" t="s">
        <v>564</v>
      </c>
      <c r="AU62" t="s">
        <v>565</v>
      </c>
      <c r="AV62" s="1" t="s">
        <v>627</v>
      </c>
      <c r="AW62" t="s">
        <v>808</v>
      </c>
      <c r="AX62" t="s">
        <v>844</v>
      </c>
    </row>
    <row r="63" spans="2:50">
      <c r="B63" t="s">
        <v>111</v>
      </c>
      <c r="E63" t="s">
        <v>354</v>
      </c>
      <c r="J63" t="s">
        <v>448</v>
      </c>
      <c r="K63" t="s">
        <v>450</v>
      </c>
      <c r="L63">
        <v>100</v>
      </c>
      <c r="M63">
        <v>37.25</v>
      </c>
      <c r="N63" t="s">
        <v>453</v>
      </c>
      <c r="O63" t="s">
        <v>464</v>
      </c>
      <c r="P63">
        <v>37.1</v>
      </c>
      <c r="Q63">
        <v>0.1499999999999986</v>
      </c>
      <c r="R63" t="s">
        <v>466</v>
      </c>
      <c r="S63" t="s">
        <v>449</v>
      </c>
      <c r="T63" t="s">
        <v>468</v>
      </c>
      <c r="U63">
        <v>1</v>
      </c>
      <c r="V63">
        <v>40.01</v>
      </c>
      <c r="W63" t="s">
        <v>452</v>
      </c>
      <c r="X63" t="s">
        <v>470</v>
      </c>
      <c r="Y63">
        <v>36.3</v>
      </c>
      <c r="Z63">
        <v>3.710000000000001</v>
      </c>
      <c r="AA63" t="s">
        <v>466</v>
      </c>
      <c r="AF63">
        <v>37.61</v>
      </c>
      <c r="AG63" t="s">
        <v>498</v>
      </c>
      <c r="AH63" t="s">
        <v>505</v>
      </c>
      <c r="AI63">
        <v>38.3</v>
      </c>
      <c r="AJ63">
        <v>0.6899999999999977</v>
      </c>
      <c r="AK63" t="s">
        <v>467</v>
      </c>
      <c r="AM63">
        <v>37.62</v>
      </c>
      <c r="AN63" t="s">
        <v>452</v>
      </c>
      <c r="AO63" t="s">
        <v>540</v>
      </c>
      <c r="AP63">
        <v>37.7</v>
      </c>
      <c r="AQ63">
        <v>0.0800000000000054</v>
      </c>
      <c r="AR63" t="s">
        <v>467</v>
      </c>
      <c r="AU63" t="s">
        <v>565</v>
      </c>
      <c r="AV63" s="1" t="s">
        <v>628</v>
      </c>
      <c r="AW63" t="s">
        <v>808</v>
      </c>
      <c r="AX63" t="s">
        <v>845</v>
      </c>
    </row>
    <row r="64" spans="2:50">
      <c r="B64" t="s">
        <v>112</v>
      </c>
      <c r="E64" t="s">
        <v>355</v>
      </c>
      <c r="J64" t="s">
        <v>448</v>
      </c>
      <c r="M64">
        <v>38.61</v>
      </c>
      <c r="N64" t="s">
        <v>452</v>
      </c>
      <c r="O64" t="s">
        <v>462</v>
      </c>
      <c r="P64">
        <v>38.2</v>
      </c>
      <c r="Q64">
        <v>0.4099999999999966</v>
      </c>
      <c r="R64" t="s">
        <v>465</v>
      </c>
      <c r="S64" t="s">
        <v>449</v>
      </c>
      <c r="V64">
        <v>38.45</v>
      </c>
      <c r="W64" t="s">
        <v>452</v>
      </c>
      <c r="X64" t="s">
        <v>470</v>
      </c>
      <c r="Y64">
        <v>36.3</v>
      </c>
      <c r="Z64">
        <v>2.150000000000006</v>
      </c>
      <c r="AA64" t="s">
        <v>466</v>
      </c>
      <c r="AB64" t="s">
        <v>472</v>
      </c>
      <c r="AD64" t="s">
        <v>477</v>
      </c>
      <c r="AF64">
        <v>36.3</v>
      </c>
      <c r="AG64" t="s">
        <v>497</v>
      </c>
      <c r="AH64" t="s">
        <v>505</v>
      </c>
      <c r="AI64">
        <v>38.3</v>
      </c>
      <c r="AJ64">
        <v>2</v>
      </c>
      <c r="AK64" t="s">
        <v>465</v>
      </c>
      <c r="AL64">
        <v>20</v>
      </c>
      <c r="AM64">
        <v>37.06</v>
      </c>
      <c r="AN64" t="s">
        <v>452</v>
      </c>
      <c r="AO64" t="s">
        <v>541</v>
      </c>
      <c r="AP64">
        <v>37</v>
      </c>
      <c r="AQ64">
        <v>0.06000000000000227</v>
      </c>
      <c r="AR64" t="s">
        <v>465</v>
      </c>
      <c r="AS64" t="s">
        <v>563</v>
      </c>
      <c r="AU64" t="s">
        <v>566</v>
      </c>
      <c r="AV64" s="1" t="s">
        <v>629</v>
      </c>
      <c r="AW64" t="s">
        <v>808</v>
      </c>
      <c r="AX64" t="s">
        <v>846</v>
      </c>
    </row>
    <row r="65" spans="2:50">
      <c r="B65" t="s">
        <v>113</v>
      </c>
      <c r="E65" t="s">
        <v>356</v>
      </c>
      <c r="J65" t="s">
        <v>449</v>
      </c>
      <c r="M65">
        <v>39.85</v>
      </c>
      <c r="N65" t="s">
        <v>452</v>
      </c>
      <c r="O65" t="s">
        <v>462</v>
      </c>
      <c r="P65">
        <v>38.2</v>
      </c>
      <c r="Q65">
        <v>1.649999999999999</v>
      </c>
      <c r="R65" t="s">
        <v>466</v>
      </c>
      <c r="S65" t="s">
        <v>449</v>
      </c>
      <c r="V65">
        <v>38.58</v>
      </c>
      <c r="W65" t="s">
        <v>452</v>
      </c>
      <c r="X65" t="s">
        <v>470</v>
      </c>
      <c r="Y65">
        <v>36.3</v>
      </c>
      <c r="Z65">
        <v>2.280000000000001</v>
      </c>
      <c r="AA65" t="s">
        <v>466</v>
      </c>
      <c r="AB65" t="s">
        <v>472</v>
      </c>
      <c r="AD65" t="s">
        <v>481</v>
      </c>
      <c r="AF65">
        <v>38.1</v>
      </c>
      <c r="AG65" t="s">
        <v>498</v>
      </c>
      <c r="AH65" t="s">
        <v>505</v>
      </c>
      <c r="AI65">
        <v>38.3</v>
      </c>
      <c r="AJ65">
        <v>0.1999999999999957</v>
      </c>
      <c r="AK65" t="s">
        <v>465</v>
      </c>
      <c r="AL65">
        <v>4</v>
      </c>
      <c r="AM65">
        <v>35.72</v>
      </c>
      <c r="AN65" t="s">
        <v>453</v>
      </c>
      <c r="AO65" t="s">
        <v>521</v>
      </c>
      <c r="AP65">
        <v>36.3</v>
      </c>
      <c r="AQ65">
        <v>0.5799999999999983</v>
      </c>
      <c r="AR65" t="s">
        <v>465</v>
      </c>
      <c r="AS65" t="s">
        <v>564</v>
      </c>
      <c r="AU65" t="s">
        <v>565</v>
      </c>
      <c r="AV65" s="1" t="s">
        <v>630</v>
      </c>
      <c r="AW65" t="s">
        <v>808</v>
      </c>
      <c r="AX65" t="s">
        <v>847</v>
      </c>
    </row>
    <row r="66" spans="2:50">
      <c r="B66" t="s">
        <v>114</v>
      </c>
      <c r="J66" t="s">
        <v>448</v>
      </c>
      <c r="K66" t="s">
        <v>450</v>
      </c>
      <c r="L66">
        <v>100</v>
      </c>
      <c r="M66">
        <v>39.11</v>
      </c>
      <c r="N66" t="s">
        <v>452</v>
      </c>
      <c r="O66" t="s">
        <v>462</v>
      </c>
      <c r="P66">
        <v>38.2</v>
      </c>
      <c r="Q66">
        <v>0.9099999999999966</v>
      </c>
      <c r="R66" t="s">
        <v>465</v>
      </c>
      <c r="S66" t="s">
        <v>448</v>
      </c>
      <c r="T66" t="s">
        <v>468</v>
      </c>
      <c r="U66">
        <v>5</v>
      </c>
      <c r="V66">
        <v>39.08</v>
      </c>
      <c r="W66" t="s">
        <v>452</v>
      </c>
      <c r="X66" t="s">
        <v>470</v>
      </c>
      <c r="Y66">
        <v>36.3</v>
      </c>
      <c r="Z66">
        <v>2.780000000000001</v>
      </c>
      <c r="AA66" t="s">
        <v>465</v>
      </c>
      <c r="AB66" t="s">
        <v>472</v>
      </c>
      <c r="AD66" t="s">
        <v>477</v>
      </c>
      <c r="AF66">
        <v>38.84</v>
      </c>
      <c r="AG66" t="s">
        <v>497</v>
      </c>
      <c r="AH66" t="s">
        <v>497</v>
      </c>
      <c r="AI66">
        <v>38.3</v>
      </c>
      <c r="AJ66">
        <v>0.5400000000000063</v>
      </c>
      <c r="AK66" t="s">
        <v>465</v>
      </c>
      <c r="AL66">
        <v>40</v>
      </c>
      <c r="AM66">
        <v>36.53</v>
      </c>
      <c r="AN66" t="s">
        <v>452</v>
      </c>
      <c r="AO66" t="s">
        <v>538</v>
      </c>
      <c r="AP66">
        <v>36.3</v>
      </c>
      <c r="AQ66">
        <v>0.230000000000004</v>
      </c>
      <c r="AR66" t="s">
        <v>465</v>
      </c>
      <c r="AS66" t="s">
        <v>448</v>
      </c>
      <c r="AT66">
        <v>5</v>
      </c>
      <c r="AU66" t="s">
        <v>565</v>
      </c>
      <c r="AV66" s="1" t="s">
        <v>631</v>
      </c>
      <c r="AW66" t="s">
        <v>808</v>
      </c>
    </row>
    <row r="67" spans="2:50">
      <c r="B67" t="s">
        <v>115</v>
      </c>
      <c r="J67" t="s">
        <v>449</v>
      </c>
      <c r="K67" t="s">
        <v>450</v>
      </c>
      <c r="L67">
        <v>100</v>
      </c>
      <c r="M67">
        <v>38.95</v>
      </c>
      <c r="N67" t="s">
        <v>452</v>
      </c>
      <c r="O67" t="s">
        <v>462</v>
      </c>
      <c r="P67">
        <v>38.2</v>
      </c>
      <c r="Q67">
        <v>0.75</v>
      </c>
      <c r="R67" t="s">
        <v>466</v>
      </c>
      <c r="S67" t="s">
        <v>448</v>
      </c>
      <c r="T67" t="s">
        <v>468</v>
      </c>
      <c r="U67">
        <v>2</v>
      </c>
      <c r="V67">
        <v>39.67</v>
      </c>
      <c r="W67" t="s">
        <v>453</v>
      </c>
      <c r="X67" t="s">
        <v>470</v>
      </c>
      <c r="Y67">
        <v>36.3</v>
      </c>
      <c r="Z67">
        <v>3.370000000000005</v>
      </c>
      <c r="AA67" t="s">
        <v>466</v>
      </c>
      <c r="AB67" t="s">
        <v>472</v>
      </c>
      <c r="AD67" t="s">
        <v>478</v>
      </c>
      <c r="AF67">
        <v>38.46</v>
      </c>
      <c r="AG67" t="s">
        <v>454</v>
      </c>
      <c r="AH67" t="s">
        <v>497</v>
      </c>
      <c r="AI67">
        <v>38.3</v>
      </c>
      <c r="AJ67">
        <v>0.1600000000000037</v>
      </c>
      <c r="AK67" t="s">
        <v>466</v>
      </c>
      <c r="AL67">
        <v>25</v>
      </c>
      <c r="AM67">
        <v>37.06</v>
      </c>
      <c r="AN67" t="s">
        <v>452</v>
      </c>
      <c r="AO67" t="s">
        <v>541</v>
      </c>
      <c r="AP67">
        <v>37</v>
      </c>
      <c r="AQ67">
        <v>0.06000000000000227</v>
      </c>
      <c r="AR67" t="s">
        <v>465</v>
      </c>
      <c r="AS67" t="s">
        <v>449</v>
      </c>
      <c r="AT67">
        <v>3</v>
      </c>
      <c r="AU67" t="s">
        <v>565</v>
      </c>
      <c r="AV67" s="1" t="s">
        <v>632</v>
      </c>
      <c r="AW67" t="s">
        <v>808</v>
      </c>
    </row>
    <row r="68" spans="2:50">
      <c r="B68" t="s">
        <v>116</v>
      </c>
      <c r="E68" t="s">
        <v>325</v>
      </c>
      <c r="J68" t="s">
        <v>448</v>
      </c>
      <c r="K68" t="s">
        <v>450</v>
      </c>
      <c r="L68">
        <v>100</v>
      </c>
      <c r="M68">
        <v>38.02</v>
      </c>
      <c r="N68" t="s">
        <v>453</v>
      </c>
      <c r="O68" t="s">
        <v>464</v>
      </c>
      <c r="P68">
        <v>38.2</v>
      </c>
      <c r="Q68">
        <v>0.1799999999999997</v>
      </c>
      <c r="R68" t="s">
        <v>466</v>
      </c>
      <c r="S68" t="s">
        <v>449</v>
      </c>
      <c r="T68" t="s">
        <v>450</v>
      </c>
      <c r="U68">
        <v>100</v>
      </c>
      <c r="V68">
        <v>37.97</v>
      </c>
      <c r="W68" t="s">
        <v>453</v>
      </c>
      <c r="X68" t="s">
        <v>470</v>
      </c>
      <c r="Y68">
        <v>36.3</v>
      </c>
      <c r="Z68">
        <v>1.670000000000002</v>
      </c>
      <c r="AA68" t="s">
        <v>465</v>
      </c>
      <c r="AB68" t="s">
        <v>473</v>
      </c>
      <c r="AC68" t="s">
        <v>475</v>
      </c>
      <c r="AD68" t="s">
        <v>482</v>
      </c>
      <c r="AF68">
        <v>39.67</v>
      </c>
      <c r="AG68" t="s">
        <v>497</v>
      </c>
      <c r="AH68" t="s">
        <v>497</v>
      </c>
      <c r="AI68">
        <v>40.4</v>
      </c>
      <c r="AJ68">
        <v>0.7299999999999969</v>
      </c>
      <c r="AK68" t="s">
        <v>465</v>
      </c>
      <c r="AL68">
        <v>20</v>
      </c>
      <c r="AM68">
        <v>37.71</v>
      </c>
      <c r="AN68" t="s">
        <v>452</v>
      </c>
      <c r="AO68" t="s">
        <v>515</v>
      </c>
      <c r="AP68">
        <v>37.7</v>
      </c>
      <c r="AQ68">
        <v>0.00999999999999801</v>
      </c>
      <c r="AR68" t="s">
        <v>465</v>
      </c>
      <c r="AS68" t="s">
        <v>563</v>
      </c>
      <c r="AU68" t="s">
        <v>565</v>
      </c>
      <c r="AV68" s="1" t="s">
        <v>633</v>
      </c>
      <c r="AW68" t="s">
        <v>808</v>
      </c>
      <c r="AX68" t="s">
        <v>848</v>
      </c>
    </row>
    <row r="69" spans="2:50">
      <c r="B69" t="s">
        <v>117</v>
      </c>
      <c r="J69" t="s">
        <v>449</v>
      </c>
      <c r="K69" t="s">
        <v>450</v>
      </c>
      <c r="L69">
        <v>100</v>
      </c>
      <c r="M69">
        <v>37.55</v>
      </c>
      <c r="N69" t="s">
        <v>453</v>
      </c>
      <c r="O69" t="s">
        <v>464</v>
      </c>
      <c r="P69">
        <v>37.1</v>
      </c>
      <c r="Q69">
        <v>0.4499999999999957</v>
      </c>
      <c r="R69" t="s">
        <v>465</v>
      </c>
      <c r="S69" t="s">
        <v>448</v>
      </c>
      <c r="T69" t="s">
        <v>451</v>
      </c>
      <c r="U69">
        <v>90</v>
      </c>
      <c r="V69">
        <v>39.39</v>
      </c>
      <c r="W69" t="s">
        <v>453</v>
      </c>
      <c r="X69" t="s">
        <v>470</v>
      </c>
      <c r="Y69">
        <v>36.3</v>
      </c>
      <c r="Z69">
        <v>3.090000000000003</v>
      </c>
      <c r="AA69" t="s">
        <v>466</v>
      </c>
      <c r="AB69" t="s">
        <v>472</v>
      </c>
      <c r="AD69" t="s">
        <v>480</v>
      </c>
      <c r="AF69">
        <v>39.6</v>
      </c>
      <c r="AG69" t="s">
        <v>498</v>
      </c>
      <c r="AH69" t="s">
        <v>497</v>
      </c>
      <c r="AI69">
        <v>40.4</v>
      </c>
      <c r="AJ69">
        <v>0.7999999999999972</v>
      </c>
      <c r="AK69" t="s">
        <v>465</v>
      </c>
      <c r="AL69">
        <v>50</v>
      </c>
      <c r="AM69">
        <v>36.13</v>
      </c>
      <c r="AN69" t="s">
        <v>453</v>
      </c>
      <c r="AO69" t="s">
        <v>542</v>
      </c>
      <c r="AP69">
        <v>36.3</v>
      </c>
      <c r="AQ69">
        <v>0.1699999999999946</v>
      </c>
      <c r="AR69" t="s">
        <v>466</v>
      </c>
      <c r="AS69" t="s">
        <v>449</v>
      </c>
      <c r="AU69" t="s">
        <v>565</v>
      </c>
      <c r="AV69" s="1" t="s">
        <v>634</v>
      </c>
      <c r="AW69" t="s">
        <v>808</v>
      </c>
    </row>
    <row r="70" spans="2:50">
      <c r="B70" t="s">
        <v>118</v>
      </c>
      <c r="E70" t="s">
        <v>357</v>
      </c>
      <c r="J70" t="s">
        <v>448</v>
      </c>
      <c r="K70" t="s">
        <v>451</v>
      </c>
      <c r="L70">
        <v>85</v>
      </c>
      <c r="M70">
        <v>38.97</v>
      </c>
      <c r="N70" t="s">
        <v>452</v>
      </c>
      <c r="O70" t="s">
        <v>462</v>
      </c>
      <c r="P70">
        <v>38.2</v>
      </c>
      <c r="Q70">
        <v>0.769999999999996</v>
      </c>
      <c r="R70" t="s">
        <v>465</v>
      </c>
      <c r="S70" t="s">
        <v>449</v>
      </c>
      <c r="T70" t="s">
        <v>451</v>
      </c>
      <c r="U70">
        <v>15</v>
      </c>
      <c r="V70">
        <v>38.54</v>
      </c>
      <c r="W70" t="s">
        <v>453</v>
      </c>
      <c r="X70" t="s">
        <v>470</v>
      </c>
      <c r="Y70">
        <v>36.3</v>
      </c>
      <c r="Z70">
        <v>2.240000000000002</v>
      </c>
      <c r="AA70" t="s">
        <v>465</v>
      </c>
      <c r="AB70" t="s">
        <v>472</v>
      </c>
      <c r="AD70" t="s">
        <v>477</v>
      </c>
      <c r="AF70">
        <v>37.89</v>
      </c>
      <c r="AG70" t="s">
        <v>496</v>
      </c>
      <c r="AH70" t="s">
        <v>505</v>
      </c>
      <c r="AI70">
        <v>38.3</v>
      </c>
      <c r="AJ70">
        <v>0.4099999999999966</v>
      </c>
      <c r="AK70" t="s">
        <v>465</v>
      </c>
      <c r="AL70">
        <v>60</v>
      </c>
      <c r="AM70">
        <v>35.67</v>
      </c>
      <c r="AN70" t="s">
        <v>453</v>
      </c>
      <c r="AO70" t="s">
        <v>523</v>
      </c>
      <c r="AP70">
        <v>35.1</v>
      </c>
      <c r="AQ70">
        <v>0.5700000000000003</v>
      </c>
      <c r="AR70" t="s">
        <v>466</v>
      </c>
      <c r="AS70" t="s">
        <v>564</v>
      </c>
      <c r="AU70" t="s">
        <v>565</v>
      </c>
      <c r="AV70" s="1" t="s">
        <v>635</v>
      </c>
      <c r="AW70" t="s">
        <v>808</v>
      </c>
      <c r="AX70" t="s">
        <v>849</v>
      </c>
    </row>
    <row r="71" spans="2:50">
      <c r="B71" t="s">
        <v>119</v>
      </c>
      <c r="E71" t="s">
        <v>358</v>
      </c>
      <c r="J71" t="s">
        <v>448</v>
      </c>
      <c r="K71" t="s">
        <v>450</v>
      </c>
      <c r="L71">
        <v>100</v>
      </c>
      <c r="M71">
        <v>39.57</v>
      </c>
      <c r="N71" t="s">
        <v>452</v>
      </c>
      <c r="O71" t="s">
        <v>462</v>
      </c>
      <c r="P71">
        <v>38.2</v>
      </c>
      <c r="Q71">
        <v>1.369999999999997</v>
      </c>
      <c r="R71" t="s">
        <v>465</v>
      </c>
      <c r="S71" t="s">
        <v>449</v>
      </c>
      <c r="T71" t="s">
        <v>468</v>
      </c>
      <c r="U71">
        <v>1</v>
      </c>
      <c r="V71">
        <v>39.1</v>
      </c>
      <c r="W71" t="s">
        <v>452</v>
      </c>
      <c r="X71" t="s">
        <v>470</v>
      </c>
      <c r="Y71">
        <v>36.3</v>
      </c>
      <c r="Z71">
        <v>2.800000000000004</v>
      </c>
      <c r="AA71" t="s">
        <v>466</v>
      </c>
      <c r="AF71">
        <v>39.88</v>
      </c>
      <c r="AG71" t="s">
        <v>457</v>
      </c>
      <c r="AH71" t="s">
        <v>497</v>
      </c>
      <c r="AI71">
        <v>40.4</v>
      </c>
      <c r="AJ71">
        <v>0.519999999999996</v>
      </c>
      <c r="AK71" t="s">
        <v>467</v>
      </c>
      <c r="AM71">
        <v>36.53</v>
      </c>
      <c r="AN71" t="s">
        <v>452</v>
      </c>
      <c r="AO71" t="s">
        <v>538</v>
      </c>
      <c r="AP71">
        <v>36.3</v>
      </c>
      <c r="AQ71">
        <v>0.230000000000004</v>
      </c>
      <c r="AR71" t="s">
        <v>467</v>
      </c>
      <c r="AU71" t="s">
        <v>565</v>
      </c>
      <c r="AV71" s="1" t="s">
        <v>636</v>
      </c>
      <c r="AW71" t="s">
        <v>808</v>
      </c>
      <c r="AX71" t="s">
        <v>850</v>
      </c>
    </row>
    <row r="72" spans="2:50">
      <c r="B72" t="s">
        <v>120</v>
      </c>
      <c r="E72" t="s">
        <v>359</v>
      </c>
      <c r="J72" t="s">
        <v>448</v>
      </c>
      <c r="M72">
        <v>38.15</v>
      </c>
      <c r="N72" t="s">
        <v>452</v>
      </c>
      <c r="O72" t="s">
        <v>464</v>
      </c>
      <c r="P72">
        <v>38.2</v>
      </c>
      <c r="Q72">
        <v>0.05000000000000426</v>
      </c>
      <c r="R72" t="s">
        <v>465</v>
      </c>
      <c r="S72" t="s">
        <v>449</v>
      </c>
      <c r="V72">
        <v>38.65</v>
      </c>
      <c r="W72" t="s">
        <v>452</v>
      </c>
      <c r="X72" t="s">
        <v>470</v>
      </c>
      <c r="Y72">
        <v>36.3</v>
      </c>
      <c r="Z72">
        <v>2.350000000000001</v>
      </c>
      <c r="AA72" t="s">
        <v>466</v>
      </c>
      <c r="AB72" t="s">
        <v>472</v>
      </c>
      <c r="AD72" t="s">
        <v>477</v>
      </c>
      <c r="AF72">
        <v>38.91</v>
      </c>
      <c r="AG72" t="s">
        <v>496</v>
      </c>
      <c r="AH72" t="s">
        <v>497</v>
      </c>
      <c r="AI72">
        <v>38.3</v>
      </c>
      <c r="AJ72">
        <v>0.6099999999999994</v>
      </c>
      <c r="AK72" t="s">
        <v>465</v>
      </c>
      <c r="AL72">
        <v>10</v>
      </c>
      <c r="AM72">
        <v>35.49</v>
      </c>
      <c r="AN72" t="s">
        <v>453</v>
      </c>
      <c r="AO72" t="s">
        <v>517</v>
      </c>
      <c r="AP72">
        <v>35.1</v>
      </c>
      <c r="AQ72">
        <v>0.3900000000000006</v>
      </c>
      <c r="AR72" t="s">
        <v>465</v>
      </c>
      <c r="AS72" t="s">
        <v>563</v>
      </c>
      <c r="AU72" t="s">
        <v>566</v>
      </c>
      <c r="AV72" s="1" t="s">
        <v>637</v>
      </c>
      <c r="AW72" t="s">
        <v>808</v>
      </c>
      <c r="AX72" t="s">
        <v>851</v>
      </c>
    </row>
    <row r="73" spans="2:50">
      <c r="B73" t="s">
        <v>121</v>
      </c>
      <c r="E73" t="s">
        <v>360</v>
      </c>
      <c r="J73" t="s">
        <v>448</v>
      </c>
      <c r="M73">
        <v>39.81</v>
      </c>
      <c r="N73" t="s">
        <v>453</v>
      </c>
      <c r="O73" t="s">
        <v>462</v>
      </c>
      <c r="P73">
        <v>38.2</v>
      </c>
      <c r="Q73">
        <v>1.609999999999999</v>
      </c>
      <c r="R73" t="s">
        <v>466</v>
      </c>
      <c r="S73" t="s">
        <v>449</v>
      </c>
      <c r="V73">
        <v>37.93</v>
      </c>
      <c r="W73" t="s">
        <v>453</v>
      </c>
      <c r="X73" t="s">
        <v>470</v>
      </c>
      <c r="Y73">
        <v>36.3</v>
      </c>
      <c r="Z73">
        <v>1.630000000000003</v>
      </c>
      <c r="AA73" t="s">
        <v>465</v>
      </c>
      <c r="AB73" t="s">
        <v>474</v>
      </c>
      <c r="AD73" t="s">
        <v>483</v>
      </c>
      <c r="AF73">
        <v>36.25</v>
      </c>
      <c r="AG73" t="s">
        <v>457</v>
      </c>
      <c r="AH73" t="s">
        <v>505</v>
      </c>
      <c r="AI73">
        <v>38.3</v>
      </c>
      <c r="AJ73">
        <v>2.049999999999997</v>
      </c>
      <c r="AK73" t="s">
        <v>466</v>
      </c>
      <c r="AL73">
        <v>60</v>
      </c>
      <c r="AM73">
        <v>36.54</v>
      </c>
      <c r="AN73" t="s">
        <v>452</v>
      </c>
      <c r="AO73" t="s">
        <v>538</v>
      </c>
      <c r="AP73">
        <v>36.3</v>
      </c>
      <c r="AQ73">
        <v>0.240000000000002</v>
      </c>
      <c r="AR73" t="s">
        <v>465</v>
      </c>
      <c r="AS73" t="s">
        <v>564</v>
      </c>
      <c r="AU73" t="s">
        <v>565</v>
      </c>
      <c r="AV73" s="1" t="s">
        <v>638</v>
      </c>
      <c r="AW73" t="s">
        <v>808</v>
      </c>
      <c r="AX73" t="s">
        <v>852</v>
      </c>
    </row>
    <row r="74" spans="2:50">
      <c r="B74" t="s">
        <v>122</v>
      </c>
      <c r="J74" t="s">
        <v>448</v>
      </c>
      <c r="K74" t="s">
        <v>450</v>
      </c>
      <c r="L74">
        <v>100</v>
      </c>
      <c r="M74">
        <v>38.27</v>
      </c>
      <c r="N74" t="s">
        <v>452</v>
      </c>
      <c r="O74" t="s">
        <v>462</v>
      </c>
      <c r="P74">
        <v>38.2</v>
      </c>
      <c r="Q74">
        <v>0.07000000000000028</v>
      </c>
      <c r="R74" t="s">
        <v>465</v>
      </c>
      <c r="S74" t="s">
        <v>448</v>
      </c>
      <c r="T74" t="s">
        <v>468</v>
      </c>
      <c r="U74">
        <v>5</v>
      </c>
      <c r="V74">
        <v>40.97</v>
      </c>
      <c r="W74" t="s">
        <v>452</v>
      </c>
      <c r="X74" t="s">
        <v>470</v>
      </c>
      <c r="Y74">
        <v>36.3</v>
      </c>
      <c r="Z74">
        <v>4.670000000000002</v>
      </c>
      <c r="AA74" t="s">
        <v>465</v>
      </c>
      <c r="AB74" t="s">
        <v>472</v>
      </c>
      <c r="AD74" t="s">
        <v>477</v>
      </c>
      <c r="AF74">
        <v>39.29</v>
      </c>
      <c r="AG74" t="s">
        <v>496</v>
      </c>
      <c r="AH74" t="s">
        <v>497</v>
      </c>
      <c r="AI74">
        <v>38.3</v>
      </c>
      <c r="AJ74">
        <v>0.990000000000002</v>
      </c>
      <c r="AK74" t="s">
        <v>465</v>
      </c>
      <c r="AL74">
        <v>60</v>
      </c>
      <c r="AM74">
        <v>35.99</v>
      </c>
      <c r="AN74" t="s">
        <v>453</v>
      </c>
      <c r="AO74" t="s">
        <v>512</v>
      </c>
      <c r="AP74">
        <v>36.3</v>
      </c>
      <c r="AQ74">
        <v>0.3099999999999952</v>
      </c>
      <c r="AR74" t="s">
        <v>466</v>
      </c>
      <c r="AS74" t="s">
        <v>448</v>
      </c>
      <c r="AT74">
        <v>5</v>
      </c>
      <c r="AU74" t="s">
        <v>565</v>
      </c>
      <c r="AV74" s="1" t="s">
        <v>639</v>
      </c>
      <c r="AW74" t="s">
        <v>808</v>
      </c>
    </row>
    <row r="75" spans="2:50">
      <c r="B75" t="s">
        <v>123</v>
      </c>
      <c r="J75" t="s">
        <v>448</v>
      </c>
      <c r="K75" t="s">
        <v>450</v>
      </c>
      <c r="L75">
        <v>100</v>
      </c>
      <c r="M75">
        <v>38.96</v>
      </c>
      <c r="N75" t="s">
        <v>453</v>
      </c>
      <c r="O75" t="s">
        <v>462</v>
      </c>
      <c r="P75">
        <v>38.2</v>
      </c>
      <c r="Q75">
        <v>0.759999999999998</v>
      </c>
      <c r="R75" t="s">
        <v>466</v>
      </c>
      <c r="S75" t="s">
        <v>449</v>
      </c>
      <c r="T75" t="s">
        <v>468</v>
      </c>
      <c r="U75">
        <v>2</v>
      </c>
      <c r="V75">
        <v>39.47</v>
      </c>
      <c r="W75" t="s">
        <v>453</v>
      </c>
      <c r="X75" t="s">
        <v>470</v>
      </c>
      <c r="Y75">
        <v>36.3</v>
      </c>
      <c r="Z75">
        <v>3.170000000000002</v>
      </c>
      <c r="AA75" t="s">
        <v>465</v>
      </c>
      <c r="AB75" t="s">
        <v>472</v>
      </c>
      <c r="AD75" t="s">
        <v>478</v>
      </c>
      <c r="AF75">
        <v>39.21</v>
      </c>
      <c r="AG75" t="s">
        <v>454</v>
      </c>
      <c r="AH75" t="s">
        <v>497</v>
      </c>
      <c r="AI75">
        <v>38.3</v>
      </c>
      <c r="AJ75">
        <v>0.9100000000000037</v>
      </c>
      <c r="AK75" t="s">
        <v>466</v>
      </c>
      <c r="AL75">
        <v>10</v>
      </c>
      <c r="AM75">
        <v>36.61</v>
      </c>
      <c r="AN75" t="s">
        <v>452</v>
      </c>
      <c r="AO75" t="s">
        <v>513</v>
      </c>
      <c r="AP75">
        <v>36.3</v>
      </c>
      <c r="AQ75">
        <v>0.3100000000000023</v>
      </c>
      <c r="AR75" t="s">
        <v>466</v>
      </c>
      <c r="AS75" t="s">
        <v>449</v>
      </c>
      <c r="AT75">
        <v>3</v>
      </c>
      <c r="AU75" t="s">
        <v>565</v>
      </c>
      <c r="AV75" s="1" t="s">
        <v>640</v>
      </c>
      <c r="AW75" t="s">
        <v>808</v>
      </c>
    </row>
    <row r="76" spans="2:50">
      <c r="B76" t="s">
        <v>124</v>
      </c>
      <c r="E76" t="s">
        <v>325</v>
      </c>
      <c r="J76" t="s">
        <v>448</v>
      </c>
      <c r="K76" t="s">
        <v>450</v>
      </c>
      <c r="L76">
        <v>100</v>
      </c>
      <c r="M76">
        <v>37.19</v>
      </c>
      <c r="N76" t="s">
        <v>453</v>
      </c>
      <c r="O76" t="s">
        <v>464</v>
      </c>
      <c r="P76">
        <v>37.1</v>
      </c>
      <c r="Q76">
        <v>0.08999999999999631</v>
      </c>
      <c r="R76" t="s">
        <v>466</v>
      </c>
      <c r="S76" t="s">
        <v>449</v>
      </c>
      <c r="T76" t="s">
        <v>450</v>
      </c>
      <c r="U76">
        <v>100</v>
      </c>
      <c r="V76">
        <v>37.64</v>
      </c>
      <c r="W76" t="s">
        <v>453</v>
      </c>
      <c r="X76" t="s">
        <v>470</v>
      </c>
      <c r="Y76">
        <v>36.3</v>
      </c>
      <c r="Z76">
        <v>1.340000000000003</v>
      </c>
      <c r="AA76" t="s">
        <v>465</v>
      </c>
      <c r="AB76" t="s">
        <v>472</v>
      </c>
      <c r="AD76" t="s">
        <v>477</v>
      </c>
      <c r="AF76">
        <v>37.5</v>
      </c>
      <c r="AG76" t="s">
        <v>497</v>
      </c>
      <c r="AH76" t="s">
        <v>505</v>
      </c>
      <c r="AI76">
        <v>38.3</v>
      </c>
      <c r="AJ76">
        <v>0.7999999999999972</v>
      </c>
      <c r="AK76" t="s">
        <v>465</v>
      </c>
      <c r="AL76">
        <v>40</v>
      </c>
      <c r="AM76">
        <v>36.95</v>
      </c>
      <c r="AN76" t="s">
        <v>452</v>
      </c>
      <c r="AO76" t="s">
        <v>516</v>
      </c>
      <c r="AP76">
        <v>37</v>
      </c>
      <c r="AQ76">
        <v>0.04999999999999716</v>
      </c>
      <c r="AR76" t="s">
        <v>465</v>
      </c>
      <c r="AS76" t="s">
        <v>563</v>
      </c>
      <c r="AU76" t="s">
        <v>565</v>
      </c>
      <c r="AV76" s="1" t="s">
        <v>641</v>
      </c>
      <c r="AW76" t="s">
        <v>808</v>
      </c>
      <c r="AX76" t="s">
        <v>853</v>
      </c>
    </row>
    <row r="77" spans="2:50">
      <c r="B77" t="s">
        <v>125</v>
      </c>
      <c r="J77" t="s">
        <v>449</v>
      </c>
      <c r="K77" t="s">
        <v>450</v>
      </c>
      <c r="L77">
        <v>100</v>
      </c>
      <c r="M77">
        <v>36.65</v>
      </c>
      <c r="N77" t="s">
        <v>453</v>
      </c>
      <c r="O77" t="s">
        <v>463</v>
      </c>
      <c r="P77">
        <v>37.1</v>
      </c>
      <c r="Q77">
        <v>0.4500000000000028</v>
      </c>
      <c r="R77" t="s">
        <v>465</v>
      </c>
      <c r="S77" t="s">
        <v>448</v>
      </c>
      <c r="T77" t="s">
        <v>451</v>
      </c>
      <c r="U77">
        <v>90</v>
      </c>
      <c r="V77">
        <v>36.91</v>
      </c>
      <c r="W77" t="s">
        <v>453</v>
      </c>
      <c r="X77" t="s">
        <v>470</v>
      </c>
      <c r="Y77">
        <v>36.3</v>
      </c>
      <c r="Z77">
        <v>0.6099999999999994</v>
      </c>
      <c r="AA77" t="s">
        <v>466</v>
      </c>
      <c r="AB77" t="s">
        <v>472</v>
      </c>
      <c r="AD77" t="s">
        <v>480</v>
      </c>
      <c r="AF77">
        <v>38.48</v>
      </c>
      <c r="AG77" t="s">
        <v>457</v>
      </c>
      <c r="AH77" t="s">
        <v>497</v>
      </c>
      <c r="AI77">
        <v>38.3</v>
      </c>
      <c r="AJ77">
        <v>0.1799999999999997</v>
      </c>
      <c r="AK77" t="s">
        <v>465</v>
      </c>
      <c r="AL77">
        <v>4</v>
      </c>
      <c r="AM77">
        <v>34.54</v>
      </c>
      <c r="AN77" t="s">
        <v>453</v>
      </c>
      <c r="AO77" t="s">
        <v>510</v>
      </c>
      <c r="AP77">
        <v>35.1</v>
      </c>
      <c r="AQ77">
        <v>0.5600000000000023</v>
      </c>
      <c r="AR77" t="s">
        <v>465</v>
      </c>
      <c r="AS77" t="s">
        <v>449</v>
      </c>
      <c r="AU77" t="s">
        <v>565</v>
      </c>
      <c r="AV77" s="1" t="s">
        <v>642</v>
      </c>
      <c r="AW77" t="s">
        <v>808</v>
      </c>
    </row>
    <row r="78" spans="2:50">
      <c r="B78" t="s">
        <v>126</v>
      </c>
      <c r="E78" t="s">
        <v>361</v>
      </c>
      <c r="J78" t="s">
        <v>448</v>
      </c>
      <c r="K78" t="s">
        <v>451</v>
      </c>
      <c r="L78">
        <v>85</v>
      </c>
      <c r="M78">
        <v>40.75</v>
      </c>
      <c r="N78" t="s">
        <v>452</v>
      </c>
      <c r="O78" t="s">
        <v>462</v>
      </c>
      <c r="P78">
        <v>38.2</v>
      </c>
      <c r="Q78">
        <v>2.549999999999997</v>
      </c>
      <c r="R78" t="s">
        <v>465</v>
      </c>
      <c r="S78" t="s">
        <v>448</v>
      </c>
      <c r="T78" t="s">
        <v>451</v>
      </c>
      <c r="U78">
        <v>15</v>
      </c>
      <c r="V78">
        <v>37.57</v>
      </c>
      <c r="W78" t="s">
        <v>453</v>
      </c>
      <c r="X78" t="s">
        <v>470</v>
      </c>
      <c r="Y78">
        <v>36.3</v>
      </c>
      <c r="Z78">
        <v>1.270000000000003</v>
      </c>
      <c r="AA78" t="s">
        <v>466</v>
      </c>
      <c r="AB78" t="s">
        <v>473</v>
      </c>
      <c r="AC78" t="s">
        <v>475</v>
      </c>
      <c r="AD78" t="s">
        <v>482</v>
      </c>
      <c r="AF78">
        <v>37.4</v>
      </c>
      <c r="AG78" t="s">
        <v>497</v>
      </c>
      <c r="AH78" t="s">
        <v>505</v>
      </c>
      <c r="AI78">
        <v>38.3</v>
      </c>
      <c r="AJ78">
        <v>0.8999999999999986</v>
      </c>
      <c r="AK78" t="s">
        <v>465</v>
      </c>
      <c r="AL78">
        <v>4</v>
      </c>
      <c r="AM78">
        <v>37.76</v>
      </c>
      <c r="AN78" t="s">
        <v>452</v>
      </c>
      <c r="AO78" t="s">
        <v>515</v>
      </c>
      <c r="AP78">
        <v>37.7</v>
      </c>
      <c r="AQ78">
        <v>0.05999999999999517</v>
      </c>
      <c r="AR78" t="s">
        <v>466</v>
      </c>
      <c r="AS78" t="s">
        <v>564</v>
      </c>
      <c r="AU78" t="s">
        <v>565</v>
      </c>
      <c r="AV78" s="1" t="s">
        <v>643</v>
      </c>
      <c r="AW78" t="s">
        <v>808</v>
      </c>
      <c r="AX78" t="s">
        <v>854</v>
      </c>
    </row>
    <row r="79" spans="2:50">
      <c r="B79" t="s">
        <v>127</v>
      </c>
      <c r="E79" t="s">
        <v>362</v>
      </c>
      <c r="J79" t="s">
        <v>448</v>
      </c>
      <c r="K79" t="s">
        <v>450</v>
      </c>
      <c r="L79">
        <v>100</v>
      </c>
      <c r="M79">
        <v>38.35</v>
      </c>
      <c r="N79" t="s">
        <v>453</v>
      </c>
      <c r="O79" t="s">
        <v>462</v>
      </c>
      <c r="P79">
        <v>38.2</v>
      </c>
      <c r="Q79">
        <v>0.1499999999999986</v>
      </c>
      <c r="R79" t="s">
        <v>466</v>
      </c>
      <c r="S79" t="s">
        <v>449</v>
      </c>
      <c r="T79" t="s">
        <v>468</v>
      </c>
      <c r="U79">
        <v>1</v>
      </c>
      <c r="V79">
        <v>39.54</v>
      </c>
      <c r="W79" t="s">
        <v>453</v>
      </c>
      <c r="X79" t="s">
        <v>470</v>
      </c>
      <c r="Y79">
        <v>36.3</v>
      </c>
      <c r="Z79">
        <v>3.240000000000002</v>
      </c>
      <c r="AA79" t="s">
        <v>465</v>
      </c>
      <c r="AF79">
        <v>38.94</v>
      </c>
      <c r="AG79" t="s">
        <v>497</v>
      </c>
      <c r="AH79" t="s">
        <v>497</v>
      </c>
      <c r="AI79">
        <v>38.3</v>
      </c>
      <c r="AJ79">
        <v>0.6400000000000006</v>
      </c>
      <c r="AK79" t="s">
        <v>467</v>
      </c>
      <c r="AM79">
        <v>34.79</v>
      </c>
      <c r="AN79" t="s">
        <v>453</v>
      </c>
      <c r="AO79" t="s">
        <v>510</v>
      </c>
      <c r="AP79">
        <v>35.1</v>
      </c>
      <c r="AQ79">
        <v>0.3100000000000023</v>
      </c>
      <c r="AR79" t="s">
        <v>467</v>
      </c>
      <c r="AU79" t="s">
        <v>565</v>
      </c>
      <c r="AV79" s="1" t="s">
        <v>644</v>
      </c>
      <c r="AW79" t="s">
        <v>808</v>
      </c>
      <c r="AX79" t="s">
        <v>855</v>
      </c>
    </row>
    <row r="80" spans="2:50">
      <c r="B80" t="s">
        <v>128</v>
      </c>
      <c r="E80" t="s">
        <v>363</v>
      </c>
      <c r="J80" t="s">
        <v>448</v>
      </c>
      <c r="M80">
        <v>39.23</v>
      </c>
      <c r="N80" t="s">
        <v>453</v>
      </c>
      <c r="O80" t="s">
        <v>462</v>
      </c>
      <c r="P80">
        <v>38.2</v>
      </c>
      <c r="Q80">
        <v>1.029999999999994</v>
      </c>
      <c r="R80" t="s">
        <v>466</v>
      </c>
      <c r="S80" t="s">
        <v>449</v>
      </c>
      <c r="V80">
        <v>38.91</v>
      </c>
      <c r="W80" t="s">
        <v>452</v>
      </c>
      <c r="X80" t="s">
        <v>470</v>
      </c>
      <c r="Y80">
        <v>36.3</v>
      </c>
      <c r="Z80">
        <v>2.609999999999999</v>
      </c>
      <c r="AA80" t="s">
        <v>466</v>
      </c>
      <c r="AB80" t="s">
        <v>472</v>
      </c>
      <c r="AD80" t="s">
        <v>477</v>
      </c>
      <c r="AF80">
        <v>37.56</v>
      </c>
      <c r="AG80" t="s">
        <v>498</v>
      </c>
      <c r="AH80" t="s">
        <v>505</v>
      </c>
      <c r="AI80">
        <v>38.3</v>
      </c>
      <c r="AJ80">
        <v>0.7399999999999949</v>
      </c>
      <c r="AK80" t="s">
        <v>465</v>
      </c>
      <c r="AL80">
        <v>4</v>
      </c>
      <c r="AM80">
        <v>36.83</v>
      </c>
      <c r="AN80" t="s">
        <v>452</v>
      </c>
      <c r="AO80" t="s">
        <v>527</v>
      </c>
      <c r="AP80">
        <v>37</v>
      </c>
      <c r="AQ80">
        <v>0.1700000000000017</v>
      </c>
      <c r="AR80" t="s">
        <v>466</v>
      </c>
      <c r="AS80" t="s">
        <v>563</v>
      </c>
      <c r="AU80" t="s">
        <v>566</v>
      </c>
      <c r="AV80" s="1" t="s">
        <v>645</v>
      </c>
      <c r="AW80" t="s">
        <v>808</v>
      </c>
      <c r="AX80" t="s">
        <v>856</v>
      </c>
    </row>
    <row r="81" spans="2:50">
      <c r="B81" t="s">
        <v>129</v>
      </c>
      <c r="E81" t="s">
        <v>364</v>
      </c>
      <c r="J81" t="s">
        <v>448</v>
      </c>
      <c r="M81">
        <v>38.35</v>
      </c>
      <c r="N81" t="s">
        <v>452</v>
      </c>
      <c r="O81" t="s">
        <v>462</v>
      </c>
      <c r="P81">
        <v>38.2</v>
      </c>
      <c r="Q81">
        <v>0.1499999999999986</v>
      </c>
      <c r="R81" t="s">
        <v>465</v>
      </c>
      <c r="S81" t="s">
        <v>449</v>
      </c>
      <c r="V81">
        <v>40.53</v>
      </c>
      <c r="W81" t="s">
        <v>452</v>
      </c>
      <c r="X81" t="s">
        <v>470</v>
      </c>
      <c r="Y81">
        <v>36.3</v>
      </c>
      <c r="Z81">
        <v>4.230000000000004</v>
      </c>
      <c r="AA81" t="s">
        <v>466</v>
      </c>
      <c r="AB81" t="s">
        <v>474</v>
      </c>
      <c r="AD81" t="s">
        <v>483</v>
      </c>
      <c r="AF81">
        <v>39.04</v>
      </c>
      <c r="AG81" t="s">
        <v>457</v>
      </c>
      <c r="AH81" t="s">
        <v>497</v>
      </c>
      <c r="AI81">
        <v>38.3</v>
      </c>
      <c r="AJ81">
        <v>0.740000000000002</v>
      </c>
      <c r="AK81" t="s">
        <v>466</v>
      </c>
      <c r="AL81">
        <v>30</v>
      </c>
      <c r="AM81">
        <v>35.2</v>
      </c>
      <c r="AN81" t="s">
        <v>453</v>
      </c>
      <c r="AO81" t="s">
        <v>518</v>
      </c>
      <c r="AP81">
        <v>35.1</v>
      </c>
      <c r="AQ81">
        <v>0.1000000000000014</v>
      </c>
      <c r="AR81" t="s">
        <v>466</v>
      </c>
      <c r="AS81" t="s">
        <v>564</v>
      </c>
      <c r="AU81" t="s">
        <v>565</v>
      </c>
      <c r="AV81" s="1" t="s">
        <v>646</v>
      </c>
      <c r="AW81" t="s">
        <v>808</v>
      </c>
      <c r="AX81" t="s">
        <v>857</v>
      </c>
    </row>
    <row r="82" spans="2:50">
      <c r="B82" t="s">
        <v>130</v>
      </c>
      <c r="J82" t="s">
        <v>449</v>
      </c>
      <c r="K82" t="s">
        <v>450</v>
      </c>
      <c r="L82">
        <v>100</v>
      </c>
      <c r="M82">
        <v>39.85</v>
      </c>
      <c r="N82" t="s">
        <v>453</v>
      </c>
      <c r="O82" t="s">
        <v>462</v>
      </c>
      <c r="P82">
        <v>38.2</v>
      </c>
      <c r="Q82">
        <v>1.649999999999999</v>
      </c>
      <c r="R82" t="s">
        <v>465</v>
      </c>
      <c r="S82" t="s">
        <v>448</v>
      </c>
      <c r="T82" t="s">
        <v>468</v>
      </c>
      <c r="U82">
        <v>5</v>
      </c>
      <c r="V82">
        <v>37.42</v>
      </c>
      <c r="W82" t="s">
        <v>453</v>
      </c>
      <c r="X82" t="s">
        <v>470</v>
      </c>
      <c r="Y82">
        <v>36.3</v>
      </c>
      <c r="Z82">
        <v>1.120000000000005</v>
      </c>
      <c r="AA82" t="s">
        <v>466</v>
      </c>
      <c r="AB82" t="s">
        <v>472</v>
      </c>
      <c r="AD82" t="s">
        <v>477</v>
      </c>
      <c r="AF82">
        <v>36.77</v>
      </c>
      <c r="AG82" t="s">
        <v>497</v>
      </c>
      <c r="AH82" t="s">
        <v>505</v>
      </c>
      <c r="AI82">
        <v>38.3</v>
      </c>
      <c r="AJ82">
        <v>1.529999999999994</v>
      </c>
      <c r="AK82" t="s">
        <v>465</v>
      </c>
      <c r="AL82">
        <v>30</v>
      </c>
      <c r="AM82">
        <v>37.14</v>
      </c>
      <c r="AN82" t="s">
        <v>452</v>
      </c>
      <c r="AO82" t="s">
        <v>525</v>
      </c>
      <c r="AP82">
        <v>37</v>
      </c>
      <c r="AQ82">
        <v>0.1400000000000006</v>
      </c>
      <c r="AR82" t="s">
        <v>465</v>
      </c>
      <c r="AS82" t="s">
        <v>448</v>
      </c>
      <c r="AT82">
        <v>5</v>
      </c>
      <c r="AU82" t="s">
        <v>565</v>
      </c>
      <c r="AV82" s="1" t="s">
        <v>647</v>
      </c>
      <c r="AW82" t="s">
        <v>808</v>
      </c>
    </row>
    <row r="83" spans="2:50">
      <c r="B83" t="s">
        <v>131</v>
      </c>
      <c r="J83" t="s">
        <v>448</v>
      </c>
      <c r="K83" t="s">
        <v>450</v>
      </c>
      <c r="L83">
        <v>100</v>
      </c>
      <c r="M83">
        <v>37.6</v>
      </c>
      <c r="N83" t="s">
        <v>453</v>
      </c>
      <c r="O83" t="s">
        <v>464</v>
      </c>
      <c r="P83">
        <v>37.1</v>
      </c>
      <c r="Q83">
        <v>0.5</v>
      </c>
      <c r="R83" t="s">
        <v>466</v>
      </c>
      <c r="S83" t="s">
        <v>448</v>
      </c>
      <c r="T83" t="s">
        <v>468</v>
      </c>
      <c r="U83">
        <v>2</v>
      </c>
      <c r="V83">
        <v>38.28</v>
      </c>
      <c r="W83" t="s">
        <v>452</v>
      </c>
      <c r="X83" t="s">
        <v>470</v>
      </c>
      <c r="Y83">
        <v>36.3</v>
      </c>
      <c r="Z83">
        <v>1.980000000000004</v>
      </c>
      <c r="AA83" t="s">
        <v>465</v>
      </c>
      <c r="AB83" t="s">
        <v>472</v>
      </c>
      <c r="AD83" t="s">
        <v>478</v>
      </c>
      <c r="AF83">
        <v>39.04</v>
      </c>
      <c r="AG83" t="s">
        <v>497</v>
      </c>
      <c r="AH83" t="s">
        <v>497</v>
      </c>
      <c r="AI83">
        <v>38.3</v>
      </c>
      <c r="AJ83">
        <v>0.740000000000002</v>
      </c>
      <c r="AK83" t="s">
        <v>465</v>
      </c>
      <c r="AL83">
        <v>4</v>
      </c>
      <c r="AM83">
        <v>35.22</v>
      </c>
      <c r="AN83" t="s">
        <v>453</v>
      </c>
      <c r="AO83" t="s">
        <v>518</v>
      </c>
      <c r="AP83">
        <v>35.1</v>
      </c>
      <c r="AQ83">
        <v>0.1199999999999974</v>
      </c>
      <c r="AR83" t="s">
        <v>465</v>
      </c>
      <c r="AS83" t="s">
        <v>449</v>
      </c>
      <c r="AT83">
        <v>3</v>
      </c>
      <c r="AU83" t="s">
        <v>565</v>
      </c>
      <c r="AV83" s="1" t="s">
        <v>648</v>
      </c>
      <c r="AW83" t="s">
        <v>808</v>
      </c>
    </row>
    <row r="84" spans="2:50">
      <c r="B84" t="s">
        <v>132</v>
      </c>
      <c r="E84" t="s">
        <v>325</v>
      </c>
      <c r="J84" t="s">
        <v>448</v>
      </c>
      <c r="K84" t="s">
        <v>450</v>
      </c>
      <c r="L84">
        <v>100</v>
      </c>
      <c r="M84">
        <v>39.99</v>
      </c>
      <c r="N84" t="s">
        <v>452</v>
      </c>
      <c r="O84" t="s">
        <v>462</v>
      </c>
      <c r="P84">
        <v>38.2</v>
      </c>
      <c r="Q84">
        <v>1.789999999999999</v>
      </c>
      <c r="R84" t="s">
        <v>465</v>
      </c>
      <c r="S84" t="s">
        <v>448</v>
      </c>
      <c r="T84" t="s">
        <v>450</v>
      </c>
      <c r="U84">
        <v>100</v>
      </c>
      <c r="V84">
        <v>38.05</v>
      </c>
      <c r="W84" t="s">
        <v>452</v>
      </c>
      <c r="X84" t="s">
        <v>470</v>
      </c>
      <c r="Y84">
        <v>36.3</v>
      </c>
      <c r="Z84">
        <v>1.75</v>
      </c>
      <c r="AA84" t="s">
        <v>465</v>
      </c>
      <c r="AB84" t="s">
        <v>472</v>
      </c>
      <c r="AD84" t="s">
        <v>477</v>
      </c>
      <c r="AF84">
        <v>37.8</v>
      </c>
      <c r="AG84" t="s">
        <v>496</v>
      </c>
      <c r="AH84" t="s">
        <v>505</v>
      </c>
      <c r="AI84">
        <v>38.3</v>
      </c>
      <c r="AJ84">
        <v>0.5</v>
      </c>
      <c r="AK84" t="s">
        <v>465</v>
      </c>
      <c r="AL84">
        <v>25</v>
      </c>
      <c r="AM84">
        <v>35.34</v>
      </c>
      <c r="AN84" t="s">
        <v>453</v>
      </c>
      <c r="AO84" t="s">
        <v>543</v>
      </c>
      <c r="AP84">
        <v>35.1</v>
      </c>
      <c r="AQ84">
        <v>0.240000000000002</v>
      </c>
      <c r="AR84" t="s">
        <v>466</v>
      </c>
      <c r="AS84" t="s">
        <v>563</v>
      </c>
      <c r="AU84" t="s">
        <v>565</v>
      </c>
      <c r="AV84" s="1" t="s">
        <v>649</v>
      </c>
      <c r="AW84" t="s">
        <v>808</v>
      </c>
      <c r="AX84" t="s">
        <v>858</v>
      </c>
    </row>
    <row r="85" spans="2:50">
      <c r="B85" t="s">
        <v>133</v>
      </c>
      <c r="J85" t="s">
        <v>448</v>
      </c>
      <c r="K85" t="s">
        <v>450</v>
      </c>
      <c r="L85">
        <v>100</v>
      </c>
      <c r="M85">
        <v>38.08</v>
      </c>
      <c r="N85" t="s">
        <v>452</v>
      </c>
      <c r="O85" t="s">
        <v>464</v>
      </c>
      <c r="P85">
        <v>38.2</v>
      </c>
      <c r="Q85">
        <v>0.1200000000000045</v>
      </c>
      <c r="R85" t="s">
        <v>465</v>
      </c>
      <c r="S85" t="s">
        <v>449</v>
      </c>
      <c r="T85" t="s">
        <v>451</v>
      </c>
      <c r="U85">
        <v>90</v>
      </c>
      <c r="V85">
        <v>40.91</v>
      </c>
      <c r="W85" t="s">
        <v>452</v>
      </c>
      <c r="X85" t="s">
        <v>470</v>
      </c>
      <c r="Y85">
        <v>36.3</v>
      </c>
      <c r="Z85">
        <v>4.609999999999999</v>
      </c>
      <c r="AA85" t="s">
        <v>466</v>
      </c>
      <c r="AB85" t="s">
        <v>472</v>
      </c>
      <c r="AD85" t="s">
        <v>480</v>
      </c>
      <c r="AF85">
        <v>37.41</v>
      </c>
      <c r="AG85" t="s">
        <v>497</v>
      </c>
      <c r="AH85" t="s">
        <v>505</v>
      </c>
      <c r="AI85">
        <v>38.3</v>
      </c>
      <c r="AJ85">
        <v>0.8900000000000006</v>
      </c>
      <c r="AK85" t="s">
        <v>465</v>
      </c>
      <c r="AL85">
        <v>40</v>
      </c>
      <c r="AM85">
        <v>36.82</v>
      </c>
      <c r="AN85" t="s">
        <v>452</v>
      </c>
      <c r="AO85" t="s">
        <v>544</v>
      </c>
      <c r="AP85">
        <v>37</v>
      </c>
      <c r="AQ85">
        <v>0.1799999999999997</v>
      </c>
      <c r="AR85" t="s">
        <v>465</v>
      </c>
      <c r="AS85" t="s">
        <v>449</v>
      </c>
      <c r="AU85" t="s">
        <v>565</v>
      </c>
      <c r="AV85" s="1" t="s">
        <v>650</v>
      </c>
      <c r="AW85" t="s">
        <v>808</v>
      </c>
    </row>
    <row r="86" spans="2:50">
      <c r="B86" t="s">
        <v>134</v>
      </c>
      <c r="E86" t="s">
        <v>365</v>
      </c>
      <c r="J86" t="s">
        <v>449</v>
      </c>
      <c r="K86" t="s">
        <v>451</v>
      </c>
      <c r="L86">
        <v>85</v>
      </c>
      <c r="M86">
        <v>38.35</v>
      </c>
      <c r="N86" t="s">
        <v>452</v>
      </c>
      <c r="O86" t="s">
        <v>462</v>
      </c>
      <c r="P86">
        <v>38.2</v>
      </c>
      <c r="Q86">
        <v>0.1499999999999986</v>
      </c>
      <c r="R86" t="s">
        <v>466</v>
      </c>
      <c r="S86" t="s">
        <v>449</v>
      </c>
      <c r="T86" t="s">
        <v>451</v>
      </c>
      <c r="U86">
        <v>15</v>
      </c>
      <c r="V86">
        <v>38.96</v>
      </c>
      <c r="W86" t="s">
        <v>452</v>
      </c>
      <c r="X86" t="s">
        <v>470</v>
      </c>
      <c r="Y86">
        <v>36.3</v>
      </c>
      <c r="Z86">
        <v>2.660000000000004</v>
      </c>
      <c r="AA86" t="s">
        <v>466</v>
      </c>
      <c r="AB86" t="s">
        <v>472</v>
      </c>
      <c r="AD86" t="s">
        <v>477</v>
      </c>
      <c r="AF86">
        <v>37.67</v>
      </c>
      <c r="AG86" t="s">
        <v>497</v>
      </c>
      <c r="AH86" t="s">
        <v>505</v>
      </c>
      <c r="AI86">
        <v>38.3</v>
      </c>
      <c r="AJ86">
        <v>0.6299999999999955</v>
      </c>
      <c r="AK86" t="s">
        <v>465</v>
      </c>
      <c r="AL86">
        <v>40</v>
      </c>
      <c r="AM86">
        <v>34.83</v>
      </c>
      <c r="AN86" t="s">
        <v>453</v>
      </c>
      <c r="AO86" t="s">
        <v>510</v>
      </c>
      <c r="AP86">
        <v>35.1</v>
      </c>
      <c r="AQ86">
        <v>0.2700000000000031</v>
      </c>
      <c r="AR86" t="s">
        <v>466</v>
      </c>
      <c r="AS86" t="s">
        <v>564</v>
      </c>
      <c r="AU86" t="s">
        <v>565</v>
      </c>
      <c r="AV86" s="1" t="s">
        <v>651</v>
      </c>
      <c r="AW86" t="s">
        <v>808</v>
      </c>
      <c r="AX86" t="s">
        <v>838</v>
      </c>
    </row>
    <row r="87" spans="2:50">
      <c r="B87" t="s">
        <v>135</v>
      </c>
      <c r="E87" t="s">
        <v>366</v>
      </c>
      <c r="J87" t="s">
        <v>448</v>
      </c>
      <c r="K87" t="s">
        <v>450</v>
      </c>
      <c r="L87">
        <v>100</v>
      </c>
      <c r="M87">
        <v>39.82</v>
      </c>
      <c r="N87" t="s">
        <v>452</v>
      </c>
      <c r="O87" t="s">
        <v>462</v>
      </c>
      <c r="P87">
        <v>38.2</v>
      </c>
      <c r="Q87">
        <v>1.619999999999997</v>
      </c>
      <c r="R87" t="s">
        <v>465</v>
      </c>
      <c r="S87" t="s">
        <v>449</v>
      </c>
      <c r="T87" t="s">
        <v>468</v>
      </c>
      <c r="U87">
        <v>1</v>
      </c>
      <c r="V87">
        <v>40.96</v>
      </c>
      <c r="W87" t="s">
        <v>452</v>
      </c>
      <c r="X87" t="s">
        <v>470</v>
      </c>
      <c r="Y87">
        <v>36.3</v>
      </c>
      <c r="Z87">
        <v>4.660000000000004</v>
      </c>
      <c r="AA87" t="s">
        <v>466</v>
      </c>
      <c r="AF87">
        <v>36.08</v>
      </c>
      <c r="AG87" t="s">
        <v>498</v>
      </c>
      <c r="AH87" t="s">
        <v>505</v>
      </c>
      <c r="AI87">
        <v>38.3</v>
      </c>
      <c r="AJ87">
        <v>2.219999999999999</v>
      </c>
      <c r="AK87" t="s">
        <v>467</v>
      </c>
      <c r="AM87">
        <v>37.84</v>
      </c>
      <c r="AN87" t="s">
        <v>452</v>
      </c>
      <c r="AO87" t="s">
        <v>515</v>
      </c>
      <c r="AP87">
        <v>37.7</v>
      </c>
      <c r="AQ87">
        <v>0.1400000000000006</v>
      </c>
      <c r="AR87" t="s">
        <v>467</v>
      </c>
      <c r="AU87" t="s">
        <v>565</v>
      </c>
      <c r="AV87" s="1" t="s">
        <v>652</v>
      </c>
      <c r="AW87" t="s">
        <v>808</v>
      </c>
      <c r="AX87" t="s">
        <v>859</v>
      </c>
    </row>
    <row r="88" spans="2:50">
      <c r="B88" t="s">
        <v>136</v>
      </c>
      <c r="E88" t="s">
        <v>367</v>
      </c>
      <c r="J88" t="s">
        <v>448</v>
      </c>
      <c r="M88">
        <v>38.35</v>
      </c>
      <c r="N88" t="s">
        <v>452</v>
      </c>
      <c r="O88" t="s">
        <v>462</v>
      </c>
      <c r="P88">
        <v>38.2</v>
      </c>
      <c r="Q88">
        <v>0.1499999999999986</v>
      </c>
      <c r="R88" t="s">
        <v>465</v>
      </c>
      <c r="S88" t="s">
        <v>449</v>
      </c>
      <c r="V88">
        <v>39.9</v>
      </c>
      <c r="W88" t="s">
        <v>452</v>
      </c>
      <c r="X88" t="s">
        <v>470</v>
      </c>
      <c r="Y88">
        <v>36.3</v>
      </c>
      <c r="Z88">
        <v>3.600000000000001</v>
      </c>
      <c r="AA88" t="s">
        <v>466</v>
      </c>
      <c r="AB88" t="s">
        <v>474</v>
      </c>
      <c r="AD88" t="s">
        <v>483</v>
      </c>
      <c r="AF88">
        <v>37.14</v>
      </c>
      <c r="AG88" t="s">
        <v>497</v>
      </c>
      <c r="AH88" t="s">
        <v>505</v>
      </c>
      <c r="AI88">
        <v>38.3</v>
      </c>
      <c r="AJ88">
        <v>1.159999999999997</v>
      </c>
      <c r="AK88" t="s">
        <v>466</v>
      </c>
      <c r="AL88">
        <v>15</v>
      </c>
      <c r="AM88">
        <v>36.06</v>
      </c>
      <c r="AN88" t="s">
        <v>453</v>
      </c>
      <c r="AO88" t="s">
        <v>545</v>
      </c>
      <c r="AP88">
        <v>36.3</v>
      </c>
      <c r="AQ88">
        <v>0.2399999999999949</v>
      </c>
      <c r="AR88" t="s">
        <v>465</v>
      </c>
      <c r="AS88" t="s">
        <v>563</v>
      </c>
      <c r="AU88" t="s">
        <v>566</v>
      </c>
      <c r="AV88" s="1" t="s">
        <v>653</v>
      </c>
      <c r="AW88" t="s">
        <v>808</v>
      </c>
      <c r="AX88" t="s">
        <v>860</v>
      </c>
    </row>
    <row r="89" spans="2:50">
      <c r="B89" t="s">
        <v>137</v>
      </c>
      <c r="E89" t="s">
        <v>368</v>
      </c>
      <c r="J89" t="s">
        <v>448</v>
      </c>
      <c r="M89">
        <v>40.75</v>
      </c>
      <c r="N89" t="s">
        <v>452</v>
      </c>
      <c r="O89" t="s">
        <v>462</v>
      </c>
      <c r="P89">
        <v>38.2</v>
      </c>
      <c r="Q89">
        <v>2.549999999999997</v>
      </c>
      <c r="R89" t="s">
        <v>465</v>
      </c>
      <c r="S89" t="s">
        <v>449</v>
      </c>
      <c r="V89">
        <v>39.5</v>
      </c>
      <c r="W89" t="s">
        <v>453</v>
      </c>
      <c r="X89" t="s">
        <v>470</v>
      </c>
      <c r="Y89">
        <v>36.3</v>
      </c>
      <c r="Z89">
        <v>3.200000000000003</v>
      </c>
      <c r="AA89" t="s">
        <v>465</v>
      </c>
      <c r="AB89" t="s">
        <v>474</v>
      </c>
      <c r="AD89" t="s">
        <v>483</v>
      </c>
      <c r="AF89">
        <v>38.02</v>
      </c>
      <c r="AG89" t="s">
        <v>454</v>
      </c>
      <c r="AH89" t="s">
        <v>505</v>
      </c>
      <c r="AI89">
        <v>38.3</v>
      </c>
      <c r="AJ89">
        <v>0.279999999999994</v>
      </c>
      <c r="AK89" t="s">
        <v>465</v>
      </c>
      <c r="AL89">
        <v>10</v>
      </c>
      <c r="AM89">
        <v>36.02</v>
      </c>
      <c r="AN89" t="s">
        <v>453</v>
      </c>
      <c r="AO89" t="s">
        <v>545</v>
      </c>
      <c r="AP89">
        <v>36.3</v>
      </c>
      <c r="AQ89">
        <v>0.279999999999994</v>
      </c>
      <c r="AR89" t="s">
        <v>465</v>
      </c>
      <c r="AS89" t="s">
        <v>564</v>
      </c>
      <c r="AU89" t="s">
        <v>565</v>
      </c>
      <c r="AV89" s="1" t="s">
        <v>654</v>
      </c>
      <c r="AW89" t="s">
        <v>808</v>
      </c>
      <c r="AX89" t="s">
        <v>861</v>
      </c>
    </row>
    <row r="90" spans="2:50">
      <c r="B90" t="s">
        <v>138</v>
      </c>
      <c r="J90" t="s">
        <v>449</v>
      </c>
      <c r="K90" t="s">
        <v>450</v>
      </c>
      <c r="L90">
        <v>100</v>
      </c>
      <c r="M90">
        <v>37.62</v>
      </c>
      <c r="N90" t="s">
        <v>453</v>
      </c>
      <c r="O90" t="s">
        <v>464</v>
      </c>
      <c r="P90">
        <v>37.1</v>
      </c>
      <c r="Q90">
        <v>0.519999999999996</v>
      </c>
      <c r="R90" t="s">
        <v>465</v>
      </c>
      <c r="S90" t="s">
        <v>448</v>
      </c>
      <c r="T90" t="s">
        <v>468</v>
      </c>
      <c r="U90">
        <v>5</v>
      </c>
      <c r="V90">
        <v>39.4</v>
      </c>
      <c r="W90" t="s">
        <v>452</v>
      </c>
      <c r="X90" t="s">
        <v>470</v>
      </c>
      <c r="Y90">
        <v>36.3</v>
      </c>
      <c r="Z90">
        <v>3.100000000000001</v>
      </c>
      <c r="AA90" t="s">
        <v>465</v>
      </c>
      <c r="AB90" t="s">
        <v>472</v>
      </c>
      <c r="AD90" t="s">
        <v>477</v>
      </c>
      <c r="AF90">
        <v>37.21</v>
      </c>
      <c r="AG90" t="s">
        <v>496</v>
      </c>
      <c r="AH90" t="s">
        <v>505</v>
      </c>
      <c r="AI90">
        <v>38.3</v>
      </c>
      <c r="AJ90">
        <v>1.089999999999996</v>
      </c>
      <c r="AK90" t="s">
        <v>465</v>
      </c>
      <c r="AL90">
        <v>60</v>
      </c>
      <c r="AM90">
        <v>37.25</v>
      </c>
      <c r="AN90" t="s">
        <v>452</v>
      </c>
      <c r="AO90" t="s">
        <v>546</v>
      </c>
      <c r="AP90">
        <v>37</v>
      </c>
      <c r="AQ90">
        <v>0.25</v>
      </c>
      <c r="AR90" t="s">
        <v>465</v>
      </c>
      <c r="AS90" t="s">
        <v>448</v>
      </c>
      <c r="AT90">
        <v>5</v>
      </c>
      <c r="AU90" t="s">
        <v>565</v>
      </c>
      <c r="AV90" s="1" t="s">
        <v>655</v>
      </c>
      <c r="AW90" t="s">
        <v>808</v>
      </c>
    </row>
    <row r="91" spans="2:50">
      <c r="B91" t="s">
        <v>139</v>
      </c>
      <c r="J91" t="s">
        <v>448</v>
      </c>
      <c r="K91" t="s">
        <v>450</v>
      </c>
      <c r="L91">
        <v>100</v>
      </c>
      <c r="M91">
        <v>40.1</v>
      </c>
      <c r="N91" t="s">
        <v>452</v>
      </c>
      <c r="O91" t="s">
        <v>462</v>
      </c>
      <c r="P91">
        <v>38.2</v>
      </c>
      <c r="Q91">
        <v>1.899999999999999</v>
      </c>
      <c r="R91" t="s">
        <v>465</v>
      </c>
      <c r="S91" t="s">
        <v>449</v>
      </c>
      <c r="T91" t="s">
        <v>468</v>
      </c>
      <c r="U91">
        <v>2</v>
      </c>
      <c r="V91">
        <v>36.08</v>
      </c>
      <c r="W91" t="s">
        <v>453</v>
      </c>
      <c r="X91" t="s">
        <v>471</v>
      </c>
      <c r="Y91">
        <v>36.3</v>
      </c>
      <c r="Z91">
        <v>0.2199999999999989</v>
      </c>
      <c r="AA91" t="s">
        <v>465</v>
      </c>
      <c r="AB91" t="s">
        <v>472</v>
      </c>
      <c r="AD91" t="s">
        <v>478</v>
      </c>
      <c r="AF91">
        <v>36.46</v>
      </c>
      <c r="AG91" t="s">
        <v>457</v>
      </c>
      <c r="AH91" t="s">
        <v>505</v>
      </c>
      <c r="AI91">
        <v>38.3</v>
      </c>
      <c r="AJ91">
        <v>1.839999999999996</v>
      </c>
      <c r="AK91" t="s">
        <v>465</v>
      </c>
      <c r="AL91">
        <v>4</v>
      </c>
      <c r="AM91">
        <v>34.98</v>
      </c>
      <c r="AN91" t="s">
        <v>453</v>
      </c>
      <c r="AO91" t="s">
        <v>510</v>
      </c>
      <c r="AP91">
        <v>35.1</v>
      </c>
      <c r="AQ91">
        <v>0.1200000000000045</v>
      </c>
      <c r="AR91" t="s">
        <v>465</v>
      </c>
      <c r="AS91" t="s">
        <v>449</v>
      </c>
      <c r="AT91">
        <v>3</v>
      </c>
      <c r="AU91" t="s">
        <v>565</v>
      </c>
      <c r="AV91" s="1" t="s">
        <v>656</v>
      </c>
      <c r="AW91" t="s">
        <v>808</v>
      </c>
    </row>
    <row r="92" spans="2:50">
      <c r="B92" t="s">
        <v>140</v>
      </c>
      <c r="E92" t="s">
        <v>325</v>
      </c>
      <c r="J92" t="s">
        <v>449</v>
      </c>
      <c r="K92" t="s">
        <v>450</v>
      </c>
      <c r="L92">
        <v>100</v>
      </c>
      <c r="M92">
        <v>39.86</v>
      </c>
      <c r="N92" t="s">
        <v>452</v>
      </c>
      <c r="O92" t="s">
        <v>462</v>
      </c>
      <c r="P92">
        <v>38.2</v>
      </c>
      <c r="Q92">
        <v>1.659999999999997</v>
      </c>
      <c r="R92" t="s">
        <v>466</v>
      </c>
      <c r="S92" t="s">
        <v>448</v>
      </c>
      <c r="T92" t="s">
        <v>450</v>
      </c>
      <c r="U92">
        <v>100</v>
      </c>
      <c r="V92">
        <v>40.67</v>
      </c>
      <c r="W92" t="s">
        <v>452</v>
      </c>
      <c r="X92" t="s">
        <v>470</v>
      </c>
      <c r="Y92">
        <v>36.3</v>
      </c>
      <c r="Z92">
        <v>4.370000000000005</v>
      </c>
      <c r="AA92" t="s">
        <v>465</v>
      </c>
      <c r="AB92" t="s">
        <v>472</v>
      </c>
      <c r="AD92" t="s">
        <v>477</v>
      </c>
      <c r="AF92">
        <v>39.86</v>
      </c>
      <c r="AG92" t="s">
        <v>498</v>
      </c>
      <c r="AH92" t="s">
        <v>497</v>
      </c>
      <c r="AI92">
        <v>40.4</v>
      </c>
      <c r="AJ92">
        <v>0.5399999999999991</v>
      </c>
      <c r="AK92" t="s">
        <v>465</v>
      </c>
      <c r="AL92">
        <v>20</v>
      </c>
      <c r="AM92">
        <v>35.34</v>
      </c>
      <c r="AN92" t="s">
        <v>453</v>
      </c>
      <c r="AO92" t="s">
        <v>543</v>
      </c>
      <c r="AP92">
        <v>35.1</v>
      </c>
      <c r="AQ92">
        <v>0.240000000000002</v>
      </c>
      <c r="AR92" t="s">
        <v>466</v>
      </c>
      <c r="AS92" t="s">
        <v>563</v>
      </c>
      <c r="AU92" t="s">
        <v>565</v>
      </c>
      <c r="AV92" s="1" t="s">
        <v>657</v>
      </c>
      <c r="AW92" t="s">
        <v>808</v>
      </c>
      <c r="AX92" t="s">
        <v>862</v>
      </c>
    </row>
    <row r="93" spans="2:50">
      <c r="B93" t="s">
        <v>141</v>
      </c>
      <c r="J93" t="s">
        <v>448</v>
      </c>
      <c r="K93" t="s">
        <v>450</v>
      </c>
      <c r="L93">
        <v>100</v>
      </c>
      <c r="M93">
        <v>36.07</v>
      </c>
      <c r="N93" t="s">
        <v>453</v>
      </c>
      <c r="O93" t="s">
        <v>463</v>
      </c>
      <c r="P93">
        <v>37.1</v>
      </c>
      <c r="Q93">
        <v>1.030000000000001</v>
      </c>
      <c r="R93" t="s">
        <v>466</v>
      </c>
      <c r="S93" t="s">
        <v>448</v>
      </c>
      <c r="T93" t="s">
        <v>451</v>
      </c>
      <c r="U93">
        <v>90</v>
      </c>
      <c r="V93">
        <v>37.85</v>
      </c>
      <c r="W93" t="s">
        <v>453</v>
      </c>
      <c r="X93" t="s">
        <v>470</v>
      </c>
      <c r="Y93">
        <v>36.3</v>
      </c>
      <c r="Z93">
        <v>1.550000000000004</v>
      </c>
      <c r="AA93" t="s">
        <v>466</v>
      </c>
      <c r="AB93" t="s">
        <v>472</v>
      </c>
      <c r="AD93" t="s">
        <v>480</v>
      </c>
      <c r="AF93">
        <v>39.2</v>
      </c>
      <c r="AG93" t="s">
        <v>457</v>
      </c>
      <c r="AH93" t="s">
        <v>497</v>
      </c>
      <c r="AI93">
        <v>38.3</v>
      </c>
      <c r="AJ93">
        <v>0.9000000000000057</v>
      </c>
      <c r="AK93" t="s">
        <v>465</v>
      </c>
      <c r="AL93">
        <v>10</v>
      </c>
      <c r="AM93">
        <v>37.88</v>
      </c>
      <c r="AN93" t="s">
        <v>452</v>
      </c>
      <c r="AO93" t="s">
        <v>515</v>
      </c>
      <c r="AP93">
        <v>37.7</v>
      </c>
      <c r="AQ93">
        <v>0.1799999999999997</v>
      </c>
      <c r="AR93" t="s">
        <v>466</v>
      </c>
      <c r="AS93" t="s">
        <v>449</v>
      </c>
      <c r="AU93" t="s">
        <v>565</v>
      </c>
      <c r="AV93" s="1" t="s">
        <v>658</v>
      </c>
      <c r="AW93" t="s">
        <v>808</v>
      </c>
    </row>
    <row r="94" spans="2:50">
      <c r="B94" t="s">
        <v>142</v>
      </c>
      <c r="E94" t="s">
        <v>369</v>
      </c>
      <c r="J94" t="s">
        <v>449</v>
      </c>
      <c r="K94" t="s">
        <v>451</v>
      </c>
      <c r="L94">
        <v>85</v>
      </c>
      <c r="M94">
        <v>38.76</v>
      </c>
      <c r="N94" t="s">
        <v>453</v>
      </c>
      <c r="O94" t="s">
        <v>462</v>
      </c>
      <c r="P94">
        <v>38.2</v>
      </c>
      <c r="Q94">
        <v>0.5599999999999952</v>
      </c>
      <c r="R94" t="s">
        <v>465</v>
      </c>
      <c r="S94" t="s">
        <v>448</v>
      </c>
      <c r="T94" t="s">
        <v>451</v>
      </c>
      <c r="U94">
        <v>15</v>
      </c>
      <c r="V94">
        <v>40.51</v>
      </c>
      <c r="W94" t="s">
        <v>452</v>
      </c>
      <c r="X94" t="s">
        <v>470</v>
      </c>
      <c r="Y94">
        <v>36.3</v>
      </c>
      <c r="Z94">
        <v>4.210000000000001</v>
      </c>
      <c r="AA94" t="s">
        <v>465</v>
      </c>
      <c r="AB94" t="s">
        <v>472</v>
      </c>
      <c r="AD94" t="s">
        <v>481</v>
      </c>
      <c r="AF94">
        <v>37.1</v>
      </c>
      <c r="AG94" t="s">
        <v>498</v>
      </c>
      <c r="AH94" t="s">
        <v>505</v>
      </c>
      <c r="AI94">
        <v>38.3</v>
      </c>
      <c r="AJ94">
        <v>1.199999999999996</v>
      </c>
      <c r="AK94" t="s">
        <v>465</v>
      </c>
      <c r="AL94">
        <v>30</v>
      </c>
      <c r="AM94">
        <v>34.76</v>
      </c>
      <c r="AN94" t="s">
        <v>453</v>
      </c>
      <c r="AO94" t="s">
        <v>510</v>
      </c>
      <c r="AP94">
        <v>35.1</v>
      </c>
      <c r="AQ94">
        <v>0.3400000000000034</v>
      </c>
      <c r="AR94" t="s">
        <v>466</v>
      </c>
      <c r="AS94" t="s">
        <v>564</v>
      </c>
      <c r="AU94" t="s">
        <v>565</v>
      </c>
      <c r="AV94" s="1" t="s">
        <v>659</v>
      </c>
      <c r="AW94" t="s">
        <v>808</v>
      </c>
      <c r="AX94" t="s">
        <v>863</v>
      </c>
    </row>
    <row r="95" spans="2:50">
      <c r="B95" t="s">
        <v>143</v>
      </c>
      <c r="E95" t="s">
        <v>346</v>
      </c>
      <c r="J95" t="s">
        <v>449</v>
      </c>
      <c r="K95" t="s">
        <v>450</v>
      </c>
      <c r="L95">
        <v>100</v>
      </c>
      <c r="M95">
        <v>37.3</v>
      </c>
      <c r="N95" t="s">
        <v>453</v>
      </c>
      <c r="O95" t="s">
        <v>464</v>
      </c>
      <c r="P95">
        <v>37.1</v>
      </c>
      <c r="Q95">
        <v>0.1999999999999957</v>
      </c>
      <c r="R95" t="s">
        <v>465</v>
      </c>
      <c r="S95" t="s">
        <v>449</v>
      </c>
      <c r="T95" t="s">
        <v>468</v>
      </c>
      <c r="U95">
        <v>1</v>
      </c>
      <c r="V95">
        <v>39.08</v>
      </c>
      <c r="W95" t="s">
        <v>453</v>
      </c>
      <c r="X95" t="s">
        <v>470</v>
      </c>
      <c r="Y95">
        <v>36.3</v>
      </c>
      <c r="Z95">
        <v>2.780000000000001</v>
      </c>
      <c r="AA95" t="s">
        <v>465</v>
      </c>
      <c r="AF95">
        <v>37.53</v>
      </c>
      <c r="AG95" t="s">
        <v>496</v>
      </c>
      <c r="AH95" t="s">
        <v>505</v>
      </c>
      <c r="AI95">
        <v>38.3</v>
      </c>
      <c r="AJ95">
        <v>0.769999999999996</v>
      </c>
      <c r="AK95" t="s">
        <v>467</v>
      </c>
      <c r="AM95">
        <v>37.49</v>
      </c>
      <c r="AN95" t="s">
        <v>452</v>
      </c>
      <c r="AO95" t="s">
        <v>508</v>
      </c>
      <c r="AP95">
        <v>37.7</v>
      </c>
      <c r="AQ95">
        <v>0.2100000000000009</v>
      </c>
      <c r="AR95" t="s">
        <v>467</v>
      </c>
      <c r="AU95" t="s">
        <v>565</v>
      </c>
      <c r="AV95" s="1" t="s">
        <v>660</v>
      </c>
      <c r="AW95" t="s">
        <v>808</v>
      </c>
      <c r="AX95" t="s">
        <v>864</v>
      </c>
    </row>
    <row r="96" spans="2:50">
      <c r="B96" t="s">
        <v>144</v>
      </c>
      <c r="E96" t="s">
        <v>370</v>
      </c>
      <c r="J96" t="s">
        <v>448</v>
      </c>
      <c r="M96">
        <v>39.24</v>
      </c>
      <c r="N96" t="s">
        <v>452</v>
      </c>
      <c r="O96" t="s">
        <v>462</v>
      </c>
      <c r="P96">
        <v>38.2</v>
      </c>
      <c r="Q96">
        <v>1.039999999999999</v>
      </c>
      <c r="R96" t="s">
        <v>465</v>
      </c>
      <c r="S96" t="s">
        <v>449</v>
      </c>
      <c r="V96">
        <v>38.69</v>
      </c>
      <c r="W96" t="s">
        <v>452</v>
      </c>
      <c r="X96" t="s">
        <v>470</v>
      </c>
      <c r="Y96">
        <v>36.3</v>
      </c>
      <c r="Z96">
        <v>2.390000000000001</v>
      </c>
      <c r="AA96" t="s">
        <v>466</v>
      </c>
      <c r="AD96" t="s">
        <v>479</v>
      </c>
      <c r="AF96">
        <v>38.36</v>
      </c>
      <c r="AG96" t="s">
        <v>497</v>
      </c>
      <c r="AH96" t="s">
        <v>497</v>
      </c>
      <c r="AI96">
        <v>38.3</v>
      </c>
      <c r="AJ96">
        <v>0.06000000000000227</v>
      </c>
      <c r="AK96" t="s">
        <v>467</v>
      </c>
      <c r="AL96">
        <v>10</v>
      </c>
      <c r="AM96">
        <v>37.23</v>
      </c>
      <c r="AN96" t="s">
        <v>452</v>
      </c>
      <c r="AO96" t="s">
        <v>519</v>
      </c>
      <c r="AP96">
        <v>37</v>
      </c>
      <c r="AQ96">
        <v>0.2299999999999969</v>
      </c>
      <c r="AR96" t="s">
        <v>466</v>
      </c>
      <c r="AS96" t="s">
        <v>563</v>
      </c>
      <c r="AU96" t="s">
        <v>566</v>
      </c>
      <c r="AV96" s="1" t="s">
        <v>661</v>
      </c>
      <c r="AW96" t="s">
        <v>808</v>
      </c>
      <c r="AX96" t="s">
        <v>865</v>
      </c>
    </row>
    <row r="97" spans="2:50">
      <c r="B97" t="s">
        <v>145</v>
      </c>
      <c r="E97" t="s">
        <v>371</v>
      </c>
      <c r="J97" t="s">
        <v>449</v>
      </c>
      <c r="M97">
        <v>40.62</v>
      </c>
      <c r="N97" t="s">
        <v>452</v>
      </c>
      <c r="O97" t="s">
        <v>462</v>
      </c>
      <c r="P97">
        <v>38.2</v>
      </c>
      <c r="Q97">
        <v>2.419999999999995</v>
      </c>
      <c r="R97" t="s">
        <v>466</v>
      </c>
      <c r="S97" t="s">
        <v>449</v>
      </c>
      <c r="V97">
        <v>38.08</v>
      </c>
      <c r="W97" t="s">
        <v>453</v>
      </c>
      <c r="X97" t="s">
        <v>470</v>
      </c>
      <c r="Y97">
        <v>36.3</v>
      </c>
      <c r="Z97">
        <v>1.780000000000001</v>
      </c>
      <c r="AA97" t="s">
        <v>465</v>
      </c>
      <c r="AB97" t="s">
        <v>474</v>
      </c>
      <c r="AD97" t="s">
        <v>483</v>
      </c>
      <c r="AF97">
        <v>37.51</v>
      </c>
      <c r="AG97" t="s">
        <v>457</v>
      </c>
      <c r="AH97" t="s">
        <v>505</v>
      </c>
      <c r="AI97">
        <v>38.3</v>
      </c>
      <c r="AJ97">
        <v>0.7899999999999991</v>
      </c>
      <c r="AK97" t="s">
        <v>466</v>
      </c>
      <c r="AL97">
        <v>20</v>
      </c>
      <c r="AM97">
        <v>37.1</v>
      </c>
      <c r="AN97" t="s">
        <v>452</v>
      </c>
      <c r="AO97" t="s">
        <v>539</v>
      </c>
      <c r="AP97">
        <v>37</v>
      </c>
      <c r="AQ97">
        <v>0.1000000000000014</v>
      </c>
      <c r="AR97" t="s">
        <v>465</v>
      </c>
      <c r="AS97" t="s">
        <v>564</v>
      </c>
      <c r="AU97" t="s">
        <v>565</v>
      </c>
      <c r="AV97" s="1" t="s">
        <v>662</v>
      </c>
      <c r="AW97" t="s">
        <v>808</v>
      </c>
      <c r="AX97" t="s">
        <v>866</v>
      </c>
    </row>
    <row r="98" spans="2:50">
      <c r="B98" t="s">
        <v>146</v>
      </c>
      <c r="J98" t="s">
        <v>448</v>
      </c>
      <c r="K98" t="s">
        <v>450</v>
      </c>
      <c r="L98">
        <v>100</v>
      </c>
      <c r="M98">
        <v>38.05</v>
      </c>
      <c r="N98" t="s">
        <v>452</v>
      </c>
      <c r="O98" t="s">
        <v>464</v>
      </c>
      <c r="P98">
        <v>38.2</v>
      </c>
      <c r="Q98">
        <v>0.1500000000000057</v>
      </c>
      <c r="R98" t="s">
        <v>465</v>
      </c>
      <c r="S98" t="s">
        <v>448</v>
      </c>
      <c r="T98" t="s">
        <v>468</v>
      </c>
      <c r="U98">
        <v>5</v>
      </c>
      <c r="V98">
        <v>38.72</v>
      </c>
      <c r="W98" t="s">
        <v>452</v>
      </c>
      <c r="X98" t="s">
        <v>470</v>
      </c>
      <c r="Y98">
        <v>36.3</v>
      </c>
      <c r="Z98">
        <v>2.420000000000002</v>
      </c>
      <c r="AA98" t="s">
        <v>465</v>
      </c>
      <c r="AB98" t="s">
        <v>472</v>
      </c>
      <c r="AD98" t="s">
        <v>477</v>
      </c>
      <c r="AF98">
        <v>37.57</v>
      </c>
      <c r="AG98" t="s">
        <v>457</v>
      </c>
      <c r="AH98" t="s">
        <v>505</v>
      </c>
      <c r="AI98">
        <v>38.3</v>
      </c>
      <c r="AJ98">
        <v>0.7299999999999969</v>
      </c>
      <c r="AK98" t="s">
        <v>465</v>
      </c>
      <c r="AL98">
        <v>40</v>
      </c>
      <c r="AM98">
        <v>36.75</v>
      </c>
      <c r="AN98" t="s">
        <v>452</v>
      </c>
      <c r="AO98" t="s">
        <v>528</v>
      </c>
      <c r="AP98">
        <v>37</v>
      </c>
      <c r="AQ98">
        <v>0.25</v>
      </c>
      <c r="AR98" t="s">
        <v>465</v>
      </c>
      <c r="AS98" t="s">
        <v>448</v>
      </c>
      <c r="AT98">
        <v>5</v>
      </c>
      <c r="AU98" t="s">
        <v>565</v>
      </c>
      <c r="AV98" s="1" t="s">
        <v>663</v>
      </c>
      <c r="AW98" t="s">
        <v>808</v>
      </c>
    </row>
    <row r="99" spans="2:50">
      <c r="B99" t="s">
        <v>147</v>
      </c>
      <c r="J99" t="s">
        <v>449</v>
      </c>
      <c r="K99" t="s">
        <v>450</v>
      </c>
      <c r="L99">
        <v>100</v>
      </c>
      <c r="M99">
        <v>37.6</v>
      </c>
      <c r="N99" t="s">
        <v>453</v>
      </c>
      <c r="O99" t="s">
        <v>464</v>
      </c>
      <c r="P99">
        <v>37.1</v>
      </c>
      <c r="Q99">
        <v>0.5</v>
      </c>
      <c r="R99" t="s">
        <v>465</v>
      </c>
      <c r="S99" t="s">
        <v>448</v>
      </c>
      <c r="T99" t="s">
        <v>468</v>
      </c>
      <c r="U99">
        <v>2</v>
      </c>
      <c r="V99">
        <v>39.39</v>
      </c>
      <c r="W99" t="s">
        <v>452</v>
      </c>
      <c r="X99" t="s">
        <v>470</v>
      </c>
      <c r="Y99">
        <v>36.3</v>
      </c>
      <c r="Z99">
        <v>3.090000000000003</v>
      </c>
      <c r="AA99" t="s">
        <v>465</v>
      </c>
      <c r="AB99" t="s">
        <v>472</v>
      </c>
      <c r="AD99" t="s">
        <v>478</v>
      </c>
      <c r="AF99">
        <v>38.34</v>
      </c>
      <c r="AG99" t="s">
        <v>457</v>
      </c>
      <c r="AH99" t="s">
        <v>497</v>
      </c>
      <c r="AI99">
        <v>38.3</v>
      </c>
      <c r="AJ99">
        <v>0.04000000000000625</v>
      </c>
      <c r="AK99" t="s">
        <v>465</v>
      </c>
      <c r="AL99">
        <v>15</v>
      </c>
      <c r="AM99">
        <v>35.56</v>
      </c>
      <c r="AN99" t="s">
        <v>453</v>
      </c>
      <c r="AO99" t="s">
        <v>509</v>
      </c>
      <c r="AP99">
        <v>35.1</v>
      </c>
      <c r="AQ99">
        <v>0.4600000000000009</v>
      </c>
      <c r="AR99" t="s">
        <v>465</v>
      </c>
      <c r="AS99" t="s">
        <v>449</v>
      </c>
      <c r="AT99">
        <v>3</v>
      </c>
      <c r="AU99" t="s">
        <v>565</v>
      </c>
      <c r="AV99" s="1" t="s">
        <v>664</v>
      </c>
      <c r="AW99" t="s">
        <v>808</v>
      </c>
    </row>
    <row r="100" spans="2:50">
      <c r="B100" t="s">
        <v>148</v>
      </c>
      <c r="E100" t="s">
        <v>325</v>
      </c>
      <c r="J100" t="s">
        <v>449</v>
      </c>
      <c r="K100" t="s">
        <v>450</v>
      </c>
      <c r="L100">
        <v>100</v>
      </c>
      <c r="M100">
        <v>36.67</v>
      </c>
      <c r="N100" t="s">
        <v>453</v>
      </c>
      <c r="O100" t="s">
        <v>463</v>
      </c>
      <c r="P100">
        <v>37.1</v>
      </c>
      <c r="Q100">
        <v>0.4299999999999997</v>
      </c>
      <c r="R100" t="s">
        <v>465</v>
      </c>
      <c r="S100" t="s">
        <v>448</v>
      </c>
      <c r="T100" t="s">
        <v>450</v>
      </c>
      <c r="U100">
        <v>100</v>
      </c>
      <c r="V100">
        <v>38.07</v>
      </c>
      <c r="W100" t="s">
        <v>452</v>
      </c>
      <c r="X100" t="s">
        <v>470</v>
      </c>
      <c r="Y100">
        <v>36.3</v>
      </c>
      <c r="Z100">
        <v>1.770000000000003</v>
      </c>
      <c r="AA100" t="s">
        <v>465</v>
      </c>
      <c r="AB100" t="s">
        <v>474</v>
      </c>
      <c r="AD100" t="s">
        <v>483</v>
      </c>
      <c r="AF100">
        <v>37.77</v>
      </c>
      <c r="AG100" t="s">
        <v>457</v>
      </c>
      <c r="AH100" t="s">
        <v>505</v>
      </c>
      <c r="AI100">
        <v>38.3</v>
      </c>
      <c r="AJ100">
        <v>0.529999999999994</v>
      </c>
      <c r="AK100" t="s">
        <v>466</v>
      </c>
      <c r="AL100">
        <v>20</v>
      </c>
      <c r="AM100">
        <v>36.47</v>
      </c>
      <c r="AN100" t="s">
        <v>452</v>
      </c>
      <c r="AO100" t="s">
        <v>524</v>
      </c>
      <c r="AP100">
        <v>36.3</v>
      </c>
      <c r="AQ100">
        <v>0.1700000000000017</v>
      </c>
      <c r="AR100" t="s">
        <v>465</v>
      </c>
      <c r="AS100" t="s">
        <v>563</v>
      </c>
      <c r="AU100" t="s">
        <v>565</v>
      </c>
      <c r="AV100" s="1" t="s">
        <v>665</v>
      </c>
      <c r="AW100" t="s">
        <v>808</v>
      </c>
      <c r="AX100" t="s">
        <v>867</v>
      </c>
    </row>
    <row r="101" spans="2:50">
      <c r="B101" t="s">
        <v>149</v>
      </c>
      <c r="J101" t="s">
        <v>448</v>
      </c>
      <c r="K101" t="s">
        <v>450</v>
      </c>
      <c r="L101">
        <v>100</v>
      </c>
      <c r="M101">
        <v>38.65</v>
      </c>
      <c r="N101" t="s">
        <v>453</v>
      </c>
      <c r="O101" t="s">
        <v>462</v>
      </c>
      <c r="P101">
        <v>38.2</v>
      </c>
      <c r="Q101">
        <v>0.4499999999999957</v>
      </c>
      <c r="R101" t="s">
        <v>466</v>
      </c>
      <c r="S101" t="s">
        <v>449</v>
      </c>
      <c r="T101" t="s">
        <v>451</v>
      </c>
      <c r="U101">
        <v>90</v>
      </c>
      <c r="V101">
        <v>36.46</v>
      </c>
      <c r="W101" t="s">
        <v>453</v>
      </c>
      <c r="X101" t="s">
        <v>470</v>
      </c>
      <c r="Y101">
        <v>36.3</v>
      </c>
      <c r="Z101">
        <v>0.1600000000000037</v>
      </c>
      <c r="AA101" t="s">
        <v>465</v>
      </c>
      <c r="AB101" t="s">
        <v>472</v>
      </c>
      <c r="AD101" t="s">
        <v>480</v>
      </c>
      <c r="AF101">
        <v>36.87</v>
      </c>
      <c r="AG101" t="s">
        <v>497</v>
      </c>
      <c r="AH101" t="s">
        <v>505</v>
      </c>
      <c r="AI101">
        <v>38.3</v>
      </c>
      <c r="AJ101">
        <v>1.43</v>
      </c>
      <c r="AK101" t="s">
        <v>465</v>
      </c>
      <c r="AL101">
        <v>15</v>
      </c>
      <c r="AM101">
        <v>36.47</v>
      </c>
      <c r="AN101" t="s">
        <v>452</v>
      </c>
      <c r="AO101" t="s">
        <v>524</v>
      </c>
      <c r="AP101">
        <v>36.3</v>
      </c>
      <c r="AQ101">
        <v>0.1700000000000017</v>
      </c>
      <c r="AR101" t="s">
        <v>466</v>
      </c>
      <c r="AS101" t="s">
        <v>449</v>
      </c>
      <c r="AU101" t="s">
        <v>565</v>
      </c>
      <c r="AV101" s="1" t="s">
        <v>666</v>
      </c>
      <c r="AW101" t="s">
        <v>808</v>
      </c>
    </row>
    <row r="102" spans="2:50">
      <c r="B102" t="s">
        <v>150</v>
      </c>
      <c r="E102" t="s">
        <v>372</v>
      </c>
      <c r="J102" t="s">
        <v>448</v>
      </c>
      <c r="K102" t="s">
        <v>451</v>
      </c>
      <c r="L102">
        <v>85</v>
      </c>
      <c r="M102">
        <v>39.46</v>
      </c>
      <c r="N102" t="s">
        <v>454</v>
      </c>
      <c r="O102" t="s">
        <v>462</v>
      </c>
      <c r="P102">
        <v>38.2</v>
      </c>
      <c r="Q102">
        <v>1.259999999999998</v>
      </c>
      <c r="R102" t="s">
        <v>465</v>
      </c>
      <c r="S102" t="s">
        <v>449</v>
      </c>
      <c r="T102" t="s">
        <v>451</v>
      </c>
      <c r="U102">
        <v>15</v>
      </c>
      <c r="V102">
        <v>40.5</v>
      </c>
      <c r="W102" t="s">
        <v>454</v>
      </c>
      <c r="X102" t="s">
        <v>470</v>
      </c>
      <c r="Y102">
        <v>36.3</v>
      </c>
      <c r="Z102">
        <v>4.200000000000003</v>
      </c>
      <c r="AA102" t="s">
        <v>466</v>
      </c>
      <c r="AB102" t="s">
        <v>472</v>
      </c>
      <c r="AD102" t="s">
        <v>478</v>
      </c>
      <c r="AF102">
        <v>36.37</v>
      </c>
      <c r="AG102" t="s">
        <v>499</v>
      </c>
      <c r="AH102" t="s">
        <v>505</v>
      </c>
      <c r="AI102">
        <v>38.3</v>
      </c>
      <c r="AJ102">
        <v>1.93</v>
      </c>
      <c r="AK102" t="s">
        <v>465</v>
      </c>
      <c r="AL102">
        <v>40</v>
      </c>
      <c r="AM102">
        <v>36.2</v>
      </c>
      <c r="AN102" t="s">
        <v>453</v>
      </c>
      <c r="AO102" t="s">
        <v>547</v>
      </c>
      <c r="AP102">
        <v>36.3</v>
      </c>
      <c r="AQ102">
        <v>0.09999999999999432</v>
      </c>
      <c r="AR102" t="s">
        <v>466</v>
      </c>
      <c r="AS102" t="s">
        <v>564</v>
      </c>
      <c r="AU102" t="s">
        <v>565</v>
      </c>
      <c r="AV102" s="1" t="s">
        <v>667</v>
      </c>
      <c r="AW102" t="s">
        <v>808</v>
      </c>
      <c r="AX102" t="s">
        <v>868</v>
      </c>
    </row>
    <row r="103" spans="2:50">
      <c r="B103" t="s">
        <v>151</v>
      </c>
      <c r="E103" t="s">
        <v>373</v>
      </c>
      <c r="J103" t="s">
        <v>449</v>
      </c>
      <c r="K103" t="s">
        <v>450</v>
      </c>
      <c r="L103">
        <v>100</v>
      </c>
      <c r="M103">
        <v>39.11</v>
      </c>
      <c r="N103" t="s">
        <v>453</v>
      </c>
      <c r="O103" t="s">
        <v>462</v>
      </c>
      <c r="P103">
        <v>38.2</v>
      </c>
      <c r="Q103">
        <v>0.9099999999999966</v>
      </c>
      <c r="R103" t="s">
        <v>465</v>
      </c>
      <c r="S103" t="s">
        <v>448</v>
      </c>
      <c r="T103" t="s">
        <v>468</v>
      </c>
      <c r="U103">
        <v>1</v>
      </c>
      <c r="V103">
        <v>37.91</v>
      </c>
      <c r="W103" t="s">
        <v>457</v>
      </c>
      <c r="X103" t="s">
        <v>470</v>
      </c>
      <c r="Y103">
        <v>36.3</v>
      </c>
      <c r="Z103">
        <v>1.609999999999999</v>
      </c>
      <c r="AA103" t="s">
        <v>466</v>
      </c>
      <c r="AF103">
        <v>36.97</v>
      </c>
      <c r="AG103" t="s">
        <v>500</v>
      </c>
      <c r="AH103" t="s">
        <v>505</v>
      </c>
      <c r="AI103">
        <v>38.3</v>
      </c>
      <c r="AJ103">
        <v>1.329999999999998</v>
      </c>
      <c r="AK103" t="s">
        <v>467</v>
      </c>
      <c r="AM103">
        <v>36.36</v>
      </c>
      <c r="AN103" t="s">
        <v>456</v>
      </c>
      <c r="AO103" t="s">
        <v>548</v>
      </c>
      <c r="AP103">
        <v>36.3</v>
      </c>
      <c r="AQ103">
        <v>0.06000000000000227</v>
      </c>
      <c r="AR103" t="s">
        <v>467</v>
      </c>
      <c r="AU103" t="s">
        <v>565</v>
      </c>
      <c r="AV103" s="1" t="s">
        <v>668</v>
      </c>
      <c r="AW103" t="s">
        <v>808</v>
      </c>
      <c r="AX103" t="s">
        <v>869</v>
      </c>
    </row>
    <row r="104" spans="2:50">
      <c r="B104" t="s">
        <v>152</v>
      </c>
      <c r="E104" t="s">
        <v>374</v>
      </c>
      <c r="J104" t="s">
        <v>449</v>
      </c>
      <c r="M104">
        <v>37.59</v>
      </c>
      <c r="N104" t="s">
        <v>453</v>
      </c>
      <c r="O104" t="s">
        <v>464</v>
      </c>
      <c r="P104">
        <v>37.1</v>
      </c>
      <c r="Q104">
        <v>0.490000000000002</v>
      </c>
      <c r="R104" t="s">
        <v>465</v>
      </c>
      <c r="S104" t="s">
        <v>449</v>
      </c>
      <c r="V104">
        <v>39.16</v>
      </c>
      <c r="W104" t="s">
        <v>455</v>
      </c>
      <c r="X104" t="s">
        <v>470</v>
      </c>
      <c r="Y104">
        <v>36.3</v>
      </c>
      <c r="Z104">
        <v>2.859999999999999</v>
      </c>
      <c r="AA104" t="s">
        <v>465</v>
      </c>
      <c r="AB104" t="s">
        <v>472</v>
      </c>
      <c r="AD104" t="s">
        <v>484</v>
      </c>
      <c r="AF104">
        <v>38.32</v>
      </c>
      <c r="AG104" t="s">
        <v>499</v>
      </c>
      <c r="AH104" t="s">
        <v>497</v>
      </c>
      <c r="AI104">
        <v>38.3</v>
      </c>
      <c r="AJ104">
        <v>0.02000000000000313</v>
      </c>
      <c r="AK104" t="s">
        <v>465</v>
      </c>
      <c r="AL104">
        <v>15</v>
      </c>
      <c r="AM104">
        <v>35.63</v>
      </c>
      <c r="AN104" t="s">
        <v>455</v>
      </c>
      <c r="AO104" t="s">
        <v>523</v>
      </c>
      <c r="AP104">
        <v>35.1</v>
      </c>
      <c r="AQ104">
        <v>0.5300000000000011</v>
      </c>
      <c r="AR104" t="s">
        <v>465</v>
      </c>
      <c r="AS104" t="s">
        <v>563</v>
      </c>
      <c r="AU104" t="s">
        <v>566</v>
      </c>
      <c r="AV104" s="1" t="s">
        <v>669</v>
      </c>
      <c r="AW104" t="s">
        <v>808</v>
      </c>
      <c r="AX104" t="s">
        <v>870</v>
      </c>
    </row>
    <row r="105" spans="2:50">
      <c r="B105" t="s">
        <v>153</v>
      </c>
      <c r="E105" t="s">
        <v>375</v>
      </c>
      <c r="J105" t="s">
        <v>449</v>
      </c>
      <c r="M105">
        <v>38.25</v>
      </c>
      <c r="N105" t="s">
        <v>455</v>
      </c>
      <c r="O105" t="s">
        <v>462</v>
      </c>
      <c r="P105">
        <v>38.2</v>
      </c>
      <c r="Q105">
        <v>0.04999999999999716</v>
      </c>
      <c r="R105" t="s">
        <v>465</v>
      </c>
      <c r="S105" t="s">
        <v>449</v>
      </c>
      <c r="V105">
        <v>39.65</v>
      </c>
      <c r="W105" t="s">
        <v>452</v>
      </c>
      <c r="X105" t="s">
        <v>470</v>
      </c>
      <c r="Y105">
        <v>36.3</v>
      </c>
      <c r="Z105">
        <v>3.350000000000001</v>
      </c>
      <c r="AA105" t="s">
        <v>466</v>
      </c>
      <c r="AB105" t="s">
        <v>474</v>
      </c>
      <c r="AD105" t="s">
        <v>485</v>
      </c>
      <c r="AF105">
        <v>40.96</v>
      </c>
      <c r="AG105" t="s">
        <v>456</v>
      </c>
      <c r="AH105" t="s">
        <v>506</v>
      </c>
      <c r="AI105">
        <v>40.4</v>
      </c>
      <c r="AJ105">
        <v>0.5600000000000023</v>
      </c>
      <c r="AK105" t="s">
        <v>465</v>
      </c>
      <c r="AL105">
        <v>10</v>
      </c>
      <c r="AM105">
        <v>34.6</v>
      </c>
      <c r="AN105" t="s">
        <v>453</v>
      </c>
      <c r="AO105" t="s">
        <v>510</v>
      </c>
      <c r="AP105">
        <v>35.1</v>
      </c>
      <c r="AQ105">
        <v>0.5</v>
      </c>
      <c r="AR105" t="s">
        <v>465</v>
      </c>
      <c r="AS105" t="s">
        <v>564</v>
      </c>
      <c r="AU105" t="s">
        <v>565</v>
      </c>
      <c r="AV105" s="1" t="s">
        <v>670</v>
      </c>
      <c r="AW105" t="s">
        <v>808</v>
      </c>
      <c r="AX105" t="s">
        <v>871</v>
      </c>
    </row>
    <row r="106" spans="2:50">
      <c r="B106" t="s">
        <v>154</v>
      </c>
      <c r="J106" t="s">
        <v>448</v>
      </c>
      <c r="K106" t="s">
        <v>450</v>
      </c>
      <c r="L106">
        <v>100</v>
      </c>
      <c r="M106">
        <v>38.86</v>
      </c>
      <c r="N106" t="s">
        <v>456</v>
      </c>
      <c r="O106" t="s">
        <v>462</v>
      </c>
      <c r="P106">
        <v>38.2</v>
      </c>
      <c r="Q106">
        <v>0.6599999999999966</v>
      </c>
      <c r="R106" t="s">
        <v>465</v>
      </c>
      <c r="S106" t="s">
        <v>448</v>
      </c>
      <c r="T106" t="s">
        <v>468</v>
      </c>
      <c r="U106">
        <v>5</v>
      </c>
      <c r="V106">
        <v>37.81</v>
      </c>
      <c r="W106" t="s">
        <v>457</v>
      </c>
      <c r="X106" t="s">
        <v>470</v>
      </c>
      <c r="Y106">
        <v>36.3</v>
      </c>
      <c r="Z106">
        <v>1.510000000000005</v>
      </c>
      <c r="AA106" t="s">
        <v>466</v>
      </c>
      <c r="AB106" t="s">
        <v>472</v>
      </c>
      <c r="AD106" t="s">
        <v>477</v>
      </c>
      <c r="AF106">
        <v>37.24</v>
      </c>
      <c r="AG106" t="s">
        <v>499</v>
      </c>
      <c r="AH106" t="s">
        <v>505</v>
      </c>
      <c r="AI106">
        <v>38.3</v>
      </c>
      <c r="AJ106">
        <v>1.059999999999995</v>
      </c>
      <c r="AK106" t="s">
        <v>465</v>
      </c>
      <c r="AL106">
        <v>40</v>
      </c>
      <c r="AM106">
        <v>34.71</v>
      </c>
      <c r="AN106" t="s">
        <v>455</v>
      </c>
      <c r="AO106" t="s">
        <v>510</v>
      </c>
      <c r="AP106">
        <v>35.1</v>
      </c>
      <c r="AQ106">
        <v>0.3900000000000006</v>
      </c>
      <c r="AR106" t="s">
        <v>466</v>
      </c>
      <c r="AS106" t="s">
        <v>448</v>
      </c>
      <c r="AT106">
        <v>5</v>
      </c>
      <c r="AU106" t="s">
        <v>565</v>
      </c>
      <c r="AV106" s="1" t="s">
        <v>671</v>
      </c>
      <c r="AW106" t="s">
        <v>808</v>
      </c>
    </row>
    <row r="107" spans="2:50">
      <c r="B107" t="s">
        <v>155</v>
      </c>
      <c r="J107" t="s">
        <v>448</v>
      </c>
      <c r="K107" t="s">
        <v>450</v>
      </c>
      <c r="L107">
        <v>100</v>
      </c>
      <c r="M107">
        <v>40.41</v>
      </c>
      <c r="N107" t="s">
        <v>452</v>
      </c>
      <c r="O107" t="s">
        <v>462</v>
      </c>
      <c r="P107">
        <v>38.2</v>
      </c>
      <c r="Q107">
        <v>2.209999999999994</v>
      </c>
      <c r="R107" t="s">
        <v>465</v>
      </c>
      <c r="S107" t="s">
        <v>448</v>
      </c>
      <c r="T107" t="s">
        <v>468</v>
      </c>
      <c r="U107">
        <v>2</v>
      </c>
      <c r="V107">
        <v>37.05</v>
      </c>
      <c r="W107" t="s">
        <v>457</v>
      </c>
      <c r="X107" t="s">
        <v>470</v>
      </c>
      <c r="Y107">
        <v>36.3</v>
      </c>
      <c r="Z107">
        <v>0.75</v>
      </c>
      <c r="AA107" t="s">
        <v>466</v>
      </c>
      <c r="AB107" t="s">
        <v>472</v>
      </c>
      <c r="AD107" t="s">
        <v>478</v>
      </c>
      <c r="AF107">
        <v>37.79</v>
      </c>
      <c r="AG107" t="s">
        <v>501</v>
      </c>
      <c r="AH107" t="s">
        <v>505</v>
      </c>
      <c r="AI107">
        <v>38.3</v>
      </c>
      <c r="AJ107">
        <v>0.509999999999998</v>
      </c>
      <c r="AK107" t="s">
        <v>465</v>
      </c>
      <c r="AL107">
        <v>4</v>
      </c>
      <c r="AM107">
        <v>36.37</v>
      </c>
      <c r="AN107" t="s">
        <v>454</v>
      </c>
      <c r="AO107" t="s">
        <v>548</v>
      </c>
      <c r="AP107">
        <v>36.3</v>
      </c>
      <c r="AQ107">
        <v>0.07000000000000028</v>
      </c>
      <c r="AR107" t="s">
        <v>466</v>
      </c>
      <c r="AS107" t="s">
        <v>449</v>
      </c>
      <c r="AT107">
        <v>3</v>
      </c>
      <c r="AU107" t="s">
        <v>565</v>
      </c>
      <c r="AV107" s="1" t="s">
        <v>672</v>
      </c>
      <c r="AW107" t="s">
        <v>808</v>
      </c>
    </row>
    <row r="108" spans="2:50">
      <c r="B108" t="s">
        <v>156</v>
      </c>
      <c r="E108" t="s">
        <v>325</v>
      </c>
      <c r="J108" t="s">
        <v>448</v>
      </c>
      <c r="K108" t="s">
        <v>450</v>
      </c>
      <c r="L108">
        <v>100</v>
      </c>
      <c r="M108">
        <v>38.59</v>
      </c>
      <c r="N108" t="s">
        <v>452</v>
      </c>
      <c r="O108" t="s">
        <v>462</v>
      </c>
      <c r="P108">
        <v>38.2</v>
      </c>
      <c r="Q108">
        <v>0.3900000000000006</v>
      </c>
      <c r="R108" t="s">
        <v>465</v>
      </c>
      <c r="S108" t="s">
        <v>448</v>
      </c>
      <c r="T108" t="s">
        <v>450</v>
      </c>
      <c r="U108">
        <v>100</v>
      </c>
      <c r="V108">
        <v>39.84</v>
      </c>
      <c r="W108" t="s">
        <v>453</v>
      </c>
      <c r="X108" t="s">
        <v>470</v>
      </c>
      <c r="Y108">
        <v>36.3</v>
      </c>
      <c r="Z108">
        <v>3.540000000000006</v>
      </c>
      <c r="AA108" t="s">
        <v>466</v>
      </c>
      <c r="AB108" t="s">
        <v>472</v>
      </c>
      <c r="AD108" t="s">
        <v>484</v>
      </c>
      <c r="AF108">
        <v>39.47</v>
      </c>
      <c r="AG108" t="s">
        <v>500</v>
      </c>
      <c r="AH108" t="s">
        <v>497</v>
      </c>
      <c r="AI108">
        <v>40.4</v>
      </c>
      <c r="AJ108">
        <v>0.9299999999999997</v>
      </c>
      <c r="AK108" t="s">
        <v>465</v>
      </c>
      <c r="AL108">
        <v>60</v>
      </c>
      <c r="AM108">
        <v>37.51</v>
      </c>
      <c r="AN108" t="s">
        <v>456</v>
      </c>
      <c r="AO108" t="s">
        <v>526</v>
      </c>
      <c r="AP108">
        <v>37.7</v>
      </c>
      <c r="AQ108">
        <v>0.1900000000000048</v>
      </c>
      <c r="AR108" t="s">
        <v>465</v>
      </c>
      <c r="AS108" t="s">
        <v>563</v>
      </c>
      <c r="AU108" t="s">
        <v>565</v>
      </c>
      <c r="AV108" s="1" t="s">
        <v>673</v>
      </c>
      <c r="AW108" t="s">
        <v>808</v>
      </c>
      <c r="AX108" t="s">
        <v>872</v>
      </c>
    </row>
    <row r="109" spans="2:50">
      <c r="B109" t="s">
        <v>157</v>
      </c>
      <c r="J109" t="s">
        <v>449</v>
      </c>
      <c r="K109" t="s">
        <v>450</v>
      </c>
      <c r="L109">
        <v>100</v>
      </c>
      <c r="M109">
        <v>38.45</v>
      </c>
      <c r="N109" t="s">
        <v>454</v>
      </c>
      <c r="O109" t="s">
        <v>462</v>
      </c>
      <c r="P109">
        <v>38.2</v>
      </c>
      <c r="Q109">
        <v>0.25</v>
      </c>
      <c r="R109" t="s">
        <v>466</v>
      </c>
      <c r="S109" t="s">
        <v>449</v>
      </c>
      <c r="T109" t="s">
        <v>451</v>
      </c>
      <c r="U109">
        <v>90</v>
      </c>
      <c r="V109">
        <v>36</v>
      </c>
      <c r="W109" t="s">
        <v>457</v>
      </c>
      <c r="X109" t="s">
        <v>471</v>
      </c>
      <c r="Y109">
        <v>36.3</v>
      </c>
      <c r="Z109">
        <v>0.2999999999999972</v>
      </c>
      <c r="AA109" t="s">
        <v>465</v>
      </c>
      <c r="AB109" t="s">
        <v>472</v>
      </c>
      <c r="AD109" t="s">
        <v>480</v>
      </c>
      <c r="AF109">
        <v>38.78</v>
      </c>
      <c r="AG109" t="s">
        <v>496</v>
      </c>
      <c r="AH109" t="s">
        <v>497</v>
      </c>
      <c r="AI109">
        <v>38.3</v>
      </c>
      <c r="AJ109">
        <v>0.480000000000004</v>
      </c>
      <c r="AK109" t="s">
        <v>465</v>
      </c>
      <c r="AM109">
        <v>35.02</v>
      </c>
      <c r="AN109" t="s">
        <v>455</v>
      </c>
      <c r="AO109" t="s">
        <v>510</v>
      </c>
      <c r="AP109">
        <v>35.1</v>
      </c>
      <c r="AQ109">
        <v>0.07999999999999829</v>
      </c>
      <c r="AR109" t="s">
        <v>467</v>
      </c>
      <c r="AS109" t="s">
        <v>449</v>
      </c>
      <c r="AU109" t="s">
        <v>565</v>
      </c>
      <c r="AV109" s="1" t="s">
        <v>674</v>
      </c>
      <c r="AW109" t="s">
        <v>808</v>
      </c>
    </row>
    <row r="110" spans="2:50">
      <c r="B110" t="s">
        <v>158</v>
      </c>
      <c r="E110" t="s">
        <v>376</v>
      </c>
      <c r="J110" t="s">
        <v>449</v>
      </c>
      <c r="K110" t="s">
        <v>451</v>
      </c>
      <c r="L110">
        <v>85</v>
      </c>
      <c r="M110">
        <v>38.16</v>
      </c>
      <c r="N110" t="s">
        <v>454</v>
      </c>
      <c r="O110" t="s">
        <v>464</v>
      </c>
      <c r="P110">
        <v>38.2</v>
      </c>
      <c r="Q110">
        <v>0.04000000000000625</v>
      </c>
      <c r="R110" t="s">
        <v>466</v>
      </c>
      <c r="S110" t="s">
        <v>448</v>
      </c>
      <c r="T110" t="s">
        <v>451</v>
      </c>
      <c r="U110">
        <v>15</v>
      </c>
      <c r="V110">
        <v>39.74</v>
      </c>
      <c r="W110" t="s">
        <v>455</v>
      </c>
      <c r="X110" t="s">
        <v>470</v>
      </c>
      <c r="Y110">
        <v>36.3</v>
      </c>
      <c r="Z110">
        <v>3.440000000000005</v>
      </c>
      <c r="AA110" t="s">
        <v>466</v>
      </c>
      <c r="AB110" t="s">
        <v>472</v>
      </c>
      <c r="AD110" t="s">
        <v>478</v>
      </c>
      <c r="AF110">
        <v>37.17</v>
      </c>
      <c r="AG110" t="s">
        <v>455</v>
      </c>
      <c r="AH110" t="s">
        <v>505</v>
      </c>
      <c r="AI110">
        <v>38.3</v>
      </c>
      <c r="AJ110">
        <v>1.129999999999995</v>
      </c>
      <c r="AK110" t="s">
        <v>465</v>
      </c>
      <c r="AL110">
        <v>15</v>
      </c>
      <c r="AM110">
        <v>35.29</v>
      </c>
      <c r="AN110" t="s">
        <v>453</v>
      </c>
      <c r="AO110" t="s">
        <v>520</v>
      </c>
      <c r="AP110">
        <v>35.1</v>
      </c>
      <c r="AQ110">
        <v>0.1899999999999977</v>
      </c>
      <c r="AR110" t="s">
        <v>465</v>
      </c>
      <c r="AS110" t="s">
        <v>564</v>
      </c>
      <c r="AU110" t="s">
        <v>565</v>
      </c>
      <c r="AV110" s="1" t="s">
        <v>675</v>
      </c>
      <c r="AW110" t="s">
        <v>808</v>
      </c>
      <c r="AX110" t="s">
        <v>873</v>
      </c>
    </row>
    <row r="111" spans="2:50">
      <c r="B111" t="s">
        <v>159</v>
      </c>
      <c r="E111" t="s">
        <v>377</v>
      </c>
      <c r="J111" t="s">
        <v>449</v>
      </c>
      <c r="K111" t="s">
        <v>450</v>
      </c>
      <c r="L111">
        <v>100</v>
      </c>
      <c r="M111">
        <v>40.39</v>
      </c>
      <c r="N111" t="s">
        <v>454</v>
      </c>
      <c r="O111" t="s">
        <v>462</v>
      </c>
      <c r="P111">
        <v>38.2</v>
      </c>
      <c r="Q111">
        <v>2.189999999999998</v>
      </c>
      <c r="R111" t="s">
        <v>466</v>
      </c>
      <c r="S111" t="s">
        <v>449</v>
      </c>
      <c r="T111" t="s">
        <v>468</v>
      </c>
      <c r="U111">
        <v>1</v>
      </c>
      <c r="V111">
        <v>37.1</v>
      </c>
      <c r="W111" t="s">
        <v>457</v>
      </c>
      <c r="X111" t="s">
        <v>470</v>
      </c>
      <c r="Y111">
        <v>36.3</v>
      </c>
      <c r="Z111">
        <v>0.8000000000000043</v>
      </c>
      <c r="AA111" t="s">
        <v>465</v>
      </c>
      <c r="AF111">
        <v>38.63</v>
      </c>
      <c r="AG111" t="s">
        <v>499</v>
      </c>
      <c r="AH111" t="s">
        <v>497</v>
      </c>
      <c r="AI111">
        <v>38.3</v>
      </c>
      <c r="AJ111">
        <v>0.3300000000000054</v>
      </c>
      <c r="AK111" t="s">
        <v>467</v>
      </c>
      <c r="AM111">
        <v>36.53</v>
      </c>
      <c r="AN111" t="s">
        <v>452</v>
      </c>
      <c r="AO111" t="s">
        <v>538</v>
      </c>
      <c r="AP111">
        <v>36.3</v>
      </c>
      <c r="AQ111">
        <v>0.230000000000004</v>
      </c>
      <c r="AR111" t="s">
        <v>467</v>
      </c>
      <c r="AU111" t="s">
        <v>565</v>
      </c>
      <c r="AV111" s="1" t="s">
        <v>676</v>
      </c>
      <c r="AW111" t="s">
        <v>808</v>
      </c>
      <c r="AX111" t="s">
        <v>874</v>
      </c>
    </row>
    <row r="112" spans="2:50">
      <c r="B112" t="s">
        <v>160</v>
      </c>
      <c r="E112" t="s">
        <v>378</v>
      </c>
      <c r="J112" t="s">
        <v>448</v>
      </c>
      <c r="M112">
        <v>39.03</v>
      </c>
      <c r="N112" t="s">
        <v>452</v>
      </c>
      <c r="O112" t="s">
        <v>462</v>
      </c>
      <c r="P112">
        <v>38.2</v>
      </c>
      <c r="Q112">
        <v>0.8299999999999983</v>
      </c>
      <c r="R112" t="s">
        <v>465</v>
      </c>
      <c r="S112" t="s">
        <v>449</v>
      </c>
      <c r="V112">
        <v>38.56</v>
      </c>
      <c r="W112" t="s">
        <v>454</v>
      </c>
      <c r="X112" t="s">
        <v>470</v>
      </c>
      <c r="Y112">
        <v>36.3</v>
      </c>
      <c r="Z112">
        <v>2.260000000000005</v>
      </c>
      <c r="AA112" t="s">
        <v>466</v>
      </c>
      <c r="AB112" t="s">
        <v>472</v>
      </c>
      <c r="AD112" t="s">
        <v>486</v>
      </c>
      <c r="AF112">
        <v>39.72</v>
      </c>
      <c r="AG112" t="s">
        <v>496</v>
      </c>
      <c r="AH112" t="s">
        <v>497</v>
      </c>
      <c r="AI112">
        <v>40.4</v>
      </c>
      <c r="AJ112">
        <v>0.6799999999999997</v>
      </c>
      <c r="AK112" t="s">
        <v>465</v>
      </c>
      <c r="AL112">
        <v>15</v>
      </c>
      <c r="AM112">
        <v>35.16</v>
      </c>
      <c r="AN112" t="s">
        <v>455</v>
      </c>
      <c r="AO112" t="s">
        <v>518</v>
      </c>
      <c r="AP112">
        <v>35.1</v>
      </c>
      <c r="AQ112">
        <v>0.05999999999999517</v>
      </c>
      <c r="AR112" t="s">
        <v>465</v>
      </c>
      <c r="AS112" t="s">
        <v>563</v>
      </c>
      <c r="AU112" t="s">
        <v>566</v>
      </c>
      <c r="AV112" s="1" t="s">
        <v>677</v>
      </c>
      <c r="AW112" t="s">
        <v>808</v>
      </c>
      <c r="AX112" t="s">
        <v>851</v>
      </c>
    </row>
    <row r="113" spans="2:50">
      <c r="B113" t="s">
        <v>161</v>
      </c>
      <c r="E113" t="s">
        <v>379</v>
      </c>
      <c r="J113" t="s">
        <v>449</v>
      </c>
      <c r="M113">
        <v>38.61</v>
      </c>
      <c r="N113" t="s">
        <v>454</v>
      </c>
      <c r="O113" t="s">
        <v>462</v>
      </c>
      <c r="P113">
        <v>38.2</v>
      </c>
      <c r="Q113">
        <v>0.4099999999999966</v>
      </c>
      <c r="R113" t="s">
        <v>466</v>
      </c>
      <c r="S113" t="s">
        <v>449</v>
      </c>
      <c r="V113">
        <v>38.6</v>
      </c>
      <c r="W113" t="s">
        <v>452</v>
      </c>
      <c r="X113" t="s">
        <v>470</v>
      </c>
      <c r="Y113">
        <v>36.3</v>
      </c>
      <c r="Z113">
        <v>2.300000000000004</v>
      </c>
      <c r="AA113" t="s">
        <v>466</v>
      </c>
      <c r="AC113" t="s">
        <v>475</v>
      </c>
      <c r="AD113" t="s">
        <v>487</v>
      </c>
      <c r="AF113">
        <v>37.44</v>
      </c>
      <c r="AG113" t="s">
        <v>455</v>
      </c>
      <c r="AH113" t="s">
        <v>505</v>
      </c>
      <c r="AI113">
        <v>38.3</v>
      </c>
      <c r="AJ113">
        <v>0.8599999999999994</v>
      </c>
      <c r="AK113" t="s">
        <v>467</v>
      </c>
      <c r="AM113">
        <v>34.75</v>
      </c>
      <c r="AN113" t="s">
        <v>453</v>
      </c>
      <c r="AO113" t="s">
        <v>510</v>
      </c>
      <c r="AP113">
        <v>35.1</v>
      </c>
      <c r="AQ113">
        <v>0.3500000000000014</v>
      </c>
      <c r="AR113" t="s">
        <v>467</v>
      </c>
      <c r="AS113" t="s">
        <v>564</v>
      </c>
      <c r="AU113" t="s">
        <v>565</v>
      </c>
      <c r="AV113" s="1" t="s">
        <v>678</v>
      </c>
      <c r="AW113" t="s">
        <v>808</v>
      </c>
      <c r="AX113" t="s">
        <v>820</v>
      </c>
    </row>
    <row r="114" spans="2:50">
      <c r="B114" t="s">
        <v>162</v>
      </c>
      <c r="J114" t="s">
        <v>449</v>
      </c>
      <c r="K114" t="s">
        <v>450</v>
      </c>
      <c r="L114">
        <v>100</v>
      </c>
      <c r="M114">
        <v>40.96</v>
      </c>
      <c r="N114" t="s">
        <v>452</v>
      </c>
      <c r="O114" t="s">
        <v>462</v>
      </c>
      <c r="P114">
        <v>38.2</v>
      </c>
      <c r="Q114">
        <v>2.759999999999998</v>
      </c>
      <c r="R114" t="s">
        <v>466</v>
      </c>
      <c r="S114" t="s">
        <v>448</v>
      </c>
      <c r="T114" t="s">
        <v>468</v>
      </c>
      <c r="U114">
        <v>5</v>
      </c>
      <c r="V114">
        <v>39.15</v>
      </c>
      <c r="W114" t="s">
        <v>456</v>
      </c>
      <c r="X114" t="s">
        <v>470</v>
      </c>
      <c r="Y114">
        <v>36.3</v>
      </c>
      <c r="Z114">
        <v>2.850000000000001</v>
      </c>
      <c r="AA114" t="s">
        <v>465</v>
      </c>
      <c r="AB114" t="s">
        <v>472</v>
      </c>
      <c r="AD114" t="s">
        <v>477</v>
      </c>
      <c r="AF114">
        <v>38.58</v>
      </c>
      <c r="AG114" t="s">
        <v>499</v>
      </c>
      <c r="AH114" t="s">
        <v>497</v>
      </c>
      <c r="AI114">
        <v>38.3</v>
      </c>
      <c r="AJ114">
        <v>0.2800000000000011</v>
      </c>
      <c r="AK114" t="s">
        <v>465</v>
      </c>
      <c r="AL114">
        <v>30</v>
      </c>
      <c r="AM114">
        <v>37.67</v>
      </c>
      <c r="AN114" t="s">
        <v>452</v>
      </c>
      <c r="AO114" t="s">
        <v>549</v>
      </c>
      <c r="AP114">
        <v>37.7</v>
      </c>
      <c r="AQ114">
        <v>0.03000000000000114</v>
      </c>
      <c r="AR114" t="s">
        <v>465</v>
      </c>
      <c r="AS114" t="s">
        <v>448</v>
      </c>
      <c r="AT114">
        <v>5</v>
      </c>
      <c r="AU114" t="s">
        <v>565</v>
      </c>
      <c r="AV114" s="1" t="s">
        <v>679</v>
      </c>
      <c r="AW114" t="s">
        <v>808</v>
      </c>
    </row>
    <row r="115" spans="2:50">
      <c r="B115" t="s">
        <v>163</v>
      </c>
      <c r="J115" t="s">
        <v>448</v>
      </c>
      <c r="K115" t="s">
        <v>450</v>
      </c>
      <c r="L115">
        <v>100</v>
      </c>
      <c r="M115">
        <v>38.78</v>
      </c>
      <c r="N115" t="s">
        <v>457</v>
      </c>
      <c r="O115" t="s">
        <v>462</v>
      </c>
      <c r="P115">
        <v>38.2</v>
      </c>
      <c r="Q115">
        <v>0.5799999999999983</v>
      </c>
      <c r="R115" t="s">
        <v>466</v>
      </c>
      <c r="S115" t="s">
        <v>449</v>
      </c>
      <c r="T115" t="s">
        <v>468</v>
      </c>
      <c r="U115">
        <v>2</v>
      </c>
      <c r="V115">
        <v>36.34</v>
      </c>
      <c r="W115" t="s">
        <v>455</v>
      </c>
      <c r="X115" t="s">
        <v>470</v>
      </c>
      <c r="Y115">
        <v>36.3</v>
      </c>
      <c r="Z115">
        <v>0.04000000000000625</v>
      </c>
      <c r="AA115" t="s">
        <v>465</v>
      </c>
      <c r="AB115" t="s">
        <v>472</v>
      </c>
      <c r="AD115" t="s">
        <v>478</v>
      </c>
      <c r="AF115">
        <v>40.33</v>
      </c>
      <c r="AG115" t="s">
        <v>502</v>
      </c>
      <c r="AH115" t="s">
        <v>497</v>
      </c>
      <c r="AI115">
        <v>40.4</v>
      </c>
      <c r="AJ115">
        <v>0.07000000000000028</v>
      </c>
      <c r="AK115" t="s">
        <v>466</v>
      </c>
      <c r="AL115">
        <v>15</v>
      </c>
      <c r="AM115">
        <v>35.22</v>
      </c>
      <c r="AN115" t="s">
        <v>453</v>
      </c>
      <c r="AO115" t="s">
        <v>518</v>
      </c>
      <c r="AP115">
        <v>35.1</v>
      </c>
      <c r="AQ115">
        <v>0.1199999999999974</v>
      </c>
      <c r="AR115" t="s">
        <v>465</v>
      </c>
      <c r="AS115" t="s">
        <v>449</v>
      </c>
      <c r="AT115">
        <v>3</v>
      </c>
      <c r="AU115" t="s">
        <v>565</v>
      </c>
      <c r="AV115" s="1" t="s">
        <v>680</v>
      </c>
      <c r="AW115" t="s">
        <v>808</v>
      </c>
    </row>
    <row r="116" spans="2:50">
      <c r="B116" t="s">
        <v>164</v>
      </c>
      <c r="E116" t="s">
        <v>325</v>
      </c>
      <c r="J116" t="s">
        <v>448</v>
      </c>
      <c r="K116" t="s">
        <v>450</v>
      </c>
      <c r="L116">
        <v>100</v>
      </c>
      <c r="M116">
        <v>40.35</v>
      </c>
      <c r="N116" t="s">
        <v>454</v>
      </c>
      <c r="O116" t="s">
        <v>462</v>
      </c>
      <c r="P116">
        <v>38.2</v>
      </c>
      <c r="Q116">
        <v>2.149999999999999</v>
      </c>
      <c r="R116" t="s">
        <v>465</v>
      </c>
      <c r="S116" t="s">
        <v>449</v>
      </c>
      <c r="T116" t="s">
        <v>450</v>
      </c>
      <c r="U116">
        <v>100</v>
      </c>
      <c r="V116">
        <v>38.13</v>
      </c>
      <c r="W116" t="s">
        <v>452</v>
      </c>
      <c r="X116" t="s">
        <v>470</v>
      </c>
      <c r="Y116">
        <v>36.3</v>
      </c>
      <c r="Z116">
        <v>1.830000000000005</v>
      </c>
      <c r="AA116" t="s">
        <v>466</v>
      </c>
      <c r="AB116" t="s">
        <v>472</v>
      </c>
      <c r="AD116" t="s">
        <v>486</v>
      </c>
      <c r="AF116">
        <v>39.5</v>
      </c>
      <c r="AG116" t="s">
        <v>456</v>
      </c>
      <c r="AH116" t="s">
        <v>497</v>
      </c>
      <c r="AI116">
        <v>40.4</v>
      </c>
      <c r="AJ116">
        <v>0.8999999999999986</v>
      </c>
      <c r="AK116" t="s">
        <v>466</v>
      </c>
      <c r="AM116">
        <v>35.79</v>
      </c>
      <c r="AN116" t="s">
        <v>455</v>
      </c>
      <c r="AO116" t="s">
        <v>514</v>
      </c>
      <c r="AP116">
        <v>36.3</v>
      </c>
      <c r="AQ116">
        <v>0.509999999999998</v>
      </c>
      <c r="AR116" t="s">
        <v>467</v>
      </c>
      <c r="AS116" t="s">
        <v>563</v>
      </c>
      <c r="AU116" t="s">
        <v>565</v>
      </c>
      <c r="AV116" s="1" t="s">
        <v>681</v>
      </c>
      <c r="AW116" t="s">
        <v>808</v>
      </c>
      <c r="AX116" t="s">
        <v>859</v>
      </c>
    </row>
    <row r="117" spans="2:50">
      <c r="B117" t="s">
        <v>165</v>
      </c>
      <c r="J117" t="s">
        <v>448</v>
      </c>
      <c r="K117" t="s">
        <v>450</v>
      </c>
      <c r="L117">
        <v>100</v>
      </c>
      <c r="M117">
        <v>40.7</v>
      </c>
      <c r="N117" t="s">
        <v>454</v>
      </c>
      <c r="O117" t="s">
        <v>462</v>
      </c>
      <c r="P117">
        <v>38.2</v>
      </c>
      <c r="Q117">
        <v>2.5</v>
      </c>
      <c r="R117" t="s">
        <v>465</v>
      </c>
      <c r="S117" t="s">
        <v>449</v>
      </c>
      <c r="T117" t="s">
        <v>451</v>
      </c>
      <c r="U117">
        <v>90</v>
      </c>
      <c r="V117">
        <v>40.45</v>
      </c>
      <c r="W117" t="s">
        <v>454</v>
      </c>
      <c r="X117" t="s">
        <v>470</v>
      </c>
      <c r="Y117">
        <v>36.3</v>
      </c>
      <c r="Z117">
        <v>4.150000000000006</v>
      </c>
      <c r="AA117" t="s">
        <v>466</v>
      </c>
      <c r="AB117" t="s">
        <v>472</v>
      </c>
      <c r="AD117" t="s">
        <v>480</v>
      </c>
      <c r="AF117">
        <v>39.67</v>
      </c>
      <c r="AG117" t="s">
        <v>456</v>
      </c>
      <c r="AH117" t="s">
        <v>497</v>
      </c>
      <c r="AI117">
        <v>40.4</v>
      </c>
      <c r="AJ117">
        <v>0.7299999999999969</v>
      </c>
      <c r="AK117" t="s">
        <v>466</v>
      </c>
      <c r="AL117">
        <v>40</v>
      </c>
      <c r="AM117">
        <v>36.15</v>
      </c>
      <c r="AN117" t="s">
        <v>455</v>
      </c>
      <c r="AO117" t="s">
        <v>542</v>
      </c>
      <c r="AP117">
        <v>36.3</v>
      </c>
      <c r="AQ117">
        <v>0.1499999999999986</v>
      </c>
      <c r="AR117" t="s">
        <v>466</v>
      </c>
      <c r="AS117" t="s">
        <v>449</v>
      </c>
      <c r="AU117" t="s">
        <v>565</v>
      </c>
      <c r="AV117" s="1" t="s">
        <v>682</v>
      </c>
      <c r="AW117" t="s">
        <v>808</v>
      </c>
    </row>
    <row r="118" spans="2:50">
      <c r="B118" t="s">
        <v>166</v>
      </c>
      <c r="E118" t="s">
        <v>380</v>
      </c>
      <c r="J118" t="s">
        <v>449</v>
      </c>
      <c r="K118" t="s">
        <v>451</v>
      </c>
      <c r="L118">
        <v>85</v>
      </c>
      <c r="M118">
        <v>38.62</v>
      </c>
      <c r="N118" t="s">
        <v>454</v>
      </c>
      <c r="O118" t="s">
        <v>462</v>
      </c>
      <c r="P118">
        <v>38.2</v>
      </c>
      <c r="Q118">
        <v>0.4199999999999946</v>
      </c>
      <c r="R118" t="s">
        <v>466</v>
      </c>
      <c r="S118" t="s">
        <v>448</v>
      </c>
      <c r="T118" t="s">
        <v>451</v>
      </c>
      <c r="U118">
        <v>15</v>
      </c>
      <c r="V118">
        <v>39.98</v>
      </c>
      <c r="W118" t="s">
        <v>452</v>
      </c>
      <c r="X118" t="s">
        <v>470</v>
      </c>
      <c r="Y118">
        <v>36.3</v>
      </c>
      <c r="Z118">
        <v>3.68</v>
      </c>
      <c r="AA118" t="s">
        <v>465</v>
      </c>
      <c r="AB118" t="s">
        <v>472</v>
      </c>
      <c r="AD118" t="s">
        <v>488</v>
      </c>
      <c r="AF118">
        <v>37.38</v>
      </c>
      <c r="AG118" t="s">
        <v>501</v>
      </c>
      <c r="AH118" t="s">
        <v>505</v>
      </c>
      <c r="AI118">
        <v>38.3</v>
      </c>
      <c r="AJ118">
        <v>0.9199999999999946</v>
      </c>
      <c r="AK118" t="s">
        <v>465</v>
      </c>
      <c r="AL118">
        <v>4</v>
      </c>
      <c r="AM118">
        <v>36.12</v>
      </c>
      <c r="AN118" t="s">
        <v>453</v>
      </c>
      <c r="AO118" t="s">
        <v>542</v>
      </c>
      <c r="AP118">
        <v>36.3</v>
      </c>
      <c r="AQ118">
        <v>0.1799999999999997</v>
      </c>
      <c r="AR118" t="s">
        <v>465</v>
      </c>
      <c r="AS118" t="s">
        <v>564</v>
      </c>
      <c r="AU118" t="s">
        <v>565</v>
      </c>
      <c r="AV118" s="1" t="s">
        <v>683</v>
      </c>
      <c r="AW118" t="s">
        <v>808</v>
      </c>
      <c r="AX118" t="s">
        <v>875</v>
      </c>
    </row>
    <row r="119" spans="2:50">
      <c r="B119" t="s">
        <v>167</v>
      </c>
      <c r="E119" t="s">
        <v>381</v>
      </c>
      <c r="J119" t="s">
        <v>448</v>
      </c>
      <c r="K119" t="s">
        <v>450</v>
      </c>
      <c r="L119">
        <v>100</v>
      </c>
      <c r="M119">
        <v>40.01</v>
      </c>
      <c r="N119" t="s">
        <v>454</v>
      </c>
      <c r="O119" t="s">
        <v>462</v>
      </c>
      <c r="P119">
        <v>38.2</v>
      </c>
      <c r="Q119">
        <v>1.809999999999995</v>
      </c>
      <c r="R119" t="s">
        <v>465</v>
      </c>
      <c r="S119" t="s">
        <v>448</v>
      </c>
      <c r="T119" t="s">
        <v>468</v>
      </c>
      <c r="U119">
        <v>1</v>
      </c>
      <c r="V119">
        <v>36.67</v>
      </c>
      <c r="W119" t="s">
        <v>457</v>
      </c>
      <c r="X119" t="s">
        <v>470</v>
      </c>
      <c r="Y119">
        <v>36.3</v>
      </c>
      <c r="Z119">
        <v>0.3700000000000045</v>
      </c>
      <c r="AA119" t="s">
        <v>466</v>
      </c>
      <c r="AF119">
        <v>38.91</v>
      </c>
      <c r="AG119" t="s">
        <v>502</v>
      </c>
      <c r="AH119" t="s">
        <v>497</v>
      </c>
      <c r="AI119">
        <v>38.3</v>
      </c>
      <c r="AJ119">
        <v>0.6099999999999994</v>
      </c>
      <c r="AK119" t="s">
        <v>467</v>
      </c>
      <c r="AM119">
        <v>36.42</v>
      </c>
      <c r="AN119" t="s">
        <v>454</v>
      </c>
      <c r="AO119" t="s">
        <v>524</v>
      </c>
      <c r="AP119">
        <v>36.3</v>
      </c>
      <c r="AQ119">
        <v>0.1200000000000045</v>
      </c>
      <c r="AR119" t="s">
        <v>467</v>
      </c>
      <c r="AU119" t="s">
        <v>565</v>
      </c>
      <c r="AV119" s="1" t="s">
        <v>684</v>
      </c>
      <c r="AW119" t="s">
        <v>808</v>
      </c>
      <c r="AX119" t="s">
        <v>876</v>
      </c>
    </row>
    <row r="120" spans="2:50">
      <c r="B120" t="s">
        <v>168</v>
      </c>
      <c r="E120" t="s">
        <v>382</v>
      </c>
      <c r="J120" t="s">
        <v>448</v>
      </c>
      <c r="M120">
        <v>39</v>
      </c>
      <c r="N120" t="s">
        <v>454</v>
      </c>
      <c r="O120" t="s">
        <v>462</v>
      </c>
      <c r="P120">
        <v>38.2</v>
      </c>
      <c r="Q120">
        <v>0.7999999999999972</v>
      </c>
      <c r="R120" t="s">
        <v>465</v>
      </c>
      <c r="S120" t="s">
        <v>449</v>
      </c>
      <c r="V120">
        <v>38.54</v>
      </c>
      <c r="W120" t="s">
        <v>452</v>
      </c>
      <c r="X120" t="s">
        <v>470</v>
      </c>
      <c r="Y120">
        <v>36.3</v>
      </c>
      <c r="Z120">
        <v>2.240000000000002</v>
      </c>
      <c r="AA120" t="s">
        <v>466</v>
      </c>
      <c r="AB120" t="s">
        <v>472</v>
      </c>
      <c r="AD120" t="s">
        <v>478</v>
      </c>
      <c r="AF120">
        <v>36.17</v>
      </c>
      <c r="AG120" t="s">
        <v>496</v>
      </c>
      <c r="AH120" t="s">
        <v>505</v>
      </c>
      <c r="AI120">
        <v>38.3</v>
      </c>
      <c r="AJ120">
        <v>2.129999999999995</v>
      </c>
      <c r="AK120" t="s">
        <v>465</v>
      </c>
      <c r="AL120">
        <v>25</v>
      </c>
      <c r="AM120">
        <v>35.19</v>
      </c>
      <c r="AN120" t="s">
        <v>455</v>
      </c>
      <c r="AO120" t="s">
        <v>518</v>
      </c>
      <c r="AP120">
        <v>35.1</v>
      </c>
      <c r="AQ120">
        <v>0.08999999999999631</v>
      </c>
      <c r="AR120" t="s">
        <v>466</v>
      </c>
      <c r="AS120" t="s">
        <v>563</v>
      </c>
      <c r="AU120" t="s">
        <v>566</v>
      </c>
      <c r="AV120" s="1" t="s">
        <v>685</v>
      </c>
      <c r="AW120" t="s">
        <v>808</v>
      </c>
      <c r="AX120" t="s">
        <v>876</v>
      </c>
    </row>
    <row r="121" spans="2:50">
      <c r="B121" t="s">
        <v>169</v>
      </c>
      <c r="E121" t="s">
        <v>383</v>
      </c>
      <c r="J121" t="s">
        <v>449</v>
      </c>
      <c r="M121">
        <v>38.3</v>
      </c>
      <c r="N121" t="s">
        <v>455</v>
      </c>
      <c r="O121" t="s">
        <v>462</v>
      </c>
      <c r="P121">
        <v>38.2</v>
      </c>
      <c r="Q121">
        <v>0.09999999999999432</v>
      </c>
      <c r="R121" t="s">
        <v>465</v>
      </c>
      <c r="S121" t="s">
        <v>449</v>
      </c>
      <c r="V121">
        <v>39.02</v>
      </c>
      <c r="W121" t="s">
        <v>453</v>
      </c>
      <c r="X121" t="s">
        <v>470</v>
      </c>
      <c r="Y121">
        <v>36.3</v>
      </c>
      <c r="Z121">
        <v>2.720000000000006</v>
      </c>
      <c r="AA121" t="s">
        <v>465</v>
      </c>
      <c r="AB121" t="s">
        <v>474</v>
      </c>
      <c r="AD121" t="s">
        <v>485</v>
      </c>
      <c r="AF121">
        <v>39.56</v>
      </c>
      <c r="AG121" t="s">
        <v>456</v>
      </c>
      <c r="AH121" t="s">
        <v>497</v>
      </c>
      <c r="AI121">
        <v>40.4</v>
      </c>
      <c r="AJ121">
        <v>0.8399999999999963</v>
      </c>
      <c r="AK121" t="s">
        <v>465</v>
      </c>
      <c r="AL121">
        <v>30</v>
      </c>
      <c r="AM121">
        <v>35.84</v>
      </c>
      <c r="AN121" t="s">
        <v>455</v>
      </c>
      <c r="AO121" t="s">
        <v>514</v>
      </c>
      <c r="AP121">
        <v>36.3</v>
      </c>
      <c r="AQ121">
        <v>0.4599999999999937</v>
      </c>
      <c r="AR121" t="s">
        <v>466</v>
      </c>
      <c r="AS121" t="s">
        <v>564</v>
      </c>
      <c r="AU121" t="s">
        <v>565</v>
      </c>
      <c r="AV121" s="1" t="s">
        <v>686</v>
      </c>
      <c r="AW121" t="s">
        <v>808</v>
      </c>
      <c r="AX121" t="s">
        <v>877</v>
      </c>
    </row>
    <row r="122" spans="2:50">
      <c r="B122" t="s">
        <v>170</v>
      </c>
      <c r="J122" t="s">
        <v>449</v>
      </c>
      <c r="K122" t="s">
        <v>450</v>
      </c>
      <c r="L122">
        <v>100</v>
      </c>
      <c r="M122">
        <v>38.69</v>
      </c>
      <c r="N122" t="s">
        <v>453</v>
      </c>
      <c r="O122" t="s">
        <v>462</v>
      </c>
      <c r="P122">
        <v>38.2</v>
      </c>
      <c r="Q122">
        <v>0.4899999999999949</v>
      </c>
      <c r="R122" t="s">
        <v>465</v>
      </c>
      <c r="S122" t="s">
        <v>448</v>
      </c>
      <c r="T122" t="s">
        <v>468</v>
      </c>
      <c r="U122">
        <v>5</v>
      </c>
      <c r="V122">
        <v>38.19</v>
      </c>
      <c r="W122" t="s">
        <v>456</v>
      </c>
      <c r="X122" t="s">
        <v>470</v>
      </c>
      <c r="Y122">
        <v>36.3</v>
      </c>
      <c r="Z122">
        <v>1.890000000000001</v>
      </c>
      <c r="AA122" t="s">
        <v>465</v>
      </c>
      <c r="AB122" t="s">
        <v>472</v>
      </c>
      <c r="AD122" t="s">
        <v>477</v>
      </c>
      <c r="AF122">
        <v>38.83</v>
      </c>
      <c r="AG122" t="s">
        <v>499</v>
      </c>
      <c r="AH122" t="s">
        <v>497</v>
      </c>
      <c r="AI122">
        <v>38.3</v>
      </c>
      <c r="AJ122">
        <v>0.5300000000000011</v>
      </c>
      <c r="AK122" t="s">
        <v>465</v>
      </c>
      <c r="AL122">
        <v>10</v>
      </c>
      <c r="AM122">
        <v>35.14</v>
      </c>
      <c r="AN122" t="s">
        <v>453</v>
      </c>
      <c r="AO122" t="s">
        <v>550</v>
      </c>
      <c r="AP122">
        <v>35.1</v>
      </c>
      <c r="AQ122">
        <v>0.03999999999999915</v>
      </c>
      <c r="AR122" t="s">
        <v>465</v>
      </c>
      <c r="AS122" t="s">
        <v>448</v>
      </c>
      <c r="AT122">
        <v>5</v>
      </c>
      <c r="AU122" t="s">
        <v>565</v>
      </c>
      <c r="AV122" s="1" t="s">
        <v>687</v>
      </c>
      <c r="AW122" t="s">
        <v>808</v>
      </c>
    </row>
    <row r="123" spans="2:50">
      <c r="B123" t="s">
        <v>171</v>
      </c>
      <c r="J123" t="s">
        <v>449</v>
      </c>
      <c r="K123" t="s">
        <v>450</v>
      </c>
      <c r="L123">
        <v>100</v>
      </c>
      <c r="M123">
        <v>38.5</v>
      </c>
      <c r="N123" t="s">
        <v>456</v>
      </c>
      <c r="O123" t="s">
        <v>462</v>
      </c>
      <c r="P123">
        <v>38.2</v>
      </c>
      <c r="Q123">
        <v>0.2999999999999972</v>
      </c>
      <c r="R123" t="s">
        <v>466</v>
      </c>
      <c r="S123" t="s">
        <v>449</v>
      </c>
      <c r="T123" t="s">
        <v>468</v>
      </c>
      <c r="U123">
        <v>2</v>
      </c>
      <c r="V123">
        <v>39.87</v>
      </c>
      <c r="W123" t="s">
        <v>455</v>
      </c>
      <c r="X123" t="s">
        <v>470</v>
      </c>
      <c r="Y123">
        <v>36.3</v>
      </c>
      <c r="Z123">
        <v>3.57</v>
      </c>
      <c r="AA123" t="s">
        <v>465</v>
      </c>
      <c r="AB123" t="s">
        <v>472</v>
      </c>
      <c r="AD123" t="s">
        <v>478</v>
      </c>
      <c r="AF123">
        <v>37.66</v>
      </c>
      <c r="AG123" t="s">
        <v>501</v>
      </c>
      <c r="AH123" t="s">
        <v>505</v>
      </c>
      <c r="AI123">
        <v>38.3</v>
      </c>
      <c r="AJ123">
        <v>0.6400000000000006</v>
      </c>
      <c r="AK123" t="s">
        <v>465</v>
      </c>
      <c r="AM123">
        <v>35.51</v>
      </c>
      <c r="AN123" t="s">
        <v>453</v>
      </c>
      <c r="AO123" t="s">
        <v>517</v>
      </c>
      <c r="AP123">
        <v>35.1</v>
      </c>
      <c r="AQ123">
        <v>0.4099999999999966</v>
      </c>
      <c r="AR123" t="s">
        <v>467</v>
      </c>
      <c r="AS123" t="s">
        <v>449</v>
      </c>
      <c r="AT123">
        <v>3</v>
      </c>
      <c r="AU123" t="s">
        <v>565</v>
      </c>
      <c r="AV123" s="1" t="s">
        <v>688</v>
      </c>
      <c r="AW123" t="s">
        <v>808</v>
      </c>
    </row>
    <row r="124" spans="2:50">
      <c r="B124" t="s">
        <v>172</v>
      </c>
      <c r="E124" t="s">
        <v>325</v>
      </c>
      <c r="J124" t="s">
        <v>449</v>
      </c>
      <c r="K124" t="s">
        <v>450</v>
      </c>
      <c r="L124">
        <v>100</v>
      </c>
      <c r="M124">
        <v>37.49</v>
      </c>
      <c r="N124" t="s">
        <v>453</v>
      </c>
      <c r="O124" t="s">
        <v>464</v>
      </c>
      <c r="P124">
        <v>37.1</v>
      </c>
      <c r="Q124">
        <v>0.3900000000000006</v>
      </c>
      <c r="R124" t="s">
        <v>465</v>
      </c>
      <c r="S124" t="s">
        <v>448</v>
      </c>
      <c r="T124" t="s">
        <v>450</v>
      </c>
      <c r="U124">
        <v>100</v>
      </c>
      <c r="V124">
        <v>38.3</v>
      </c>
      <c r="W124" t="s">
        <v>454</v>
      </c>
      <c r="X124" t="s">
        <v>470</v>
      </c>
      <c r="Y124">
        <v>36.3</v>
      </c>
      <c r="Z124">
        <v>2</v>
      </c>
      <c r="AA124" t="s">
        <v>465</v>
      </c>
      <c r="AB124" t="s">
        <v>472</v>
      </c>
      <c r="AD124" t="s">
        <v>478</v>
      </c>
      <c r="AF124">
        <v>38.55</v>
      </c>
      <c r="AG124" t="s">
        <v>500</v>
      </c>
      <c r="AH124" t="s">
        <v>497</v>
      </c>
      <c r="AI124">
        <v>38.3</v>
      </c>
      <c r="AJ124">
        <v>0.25</v>
      </c>
      <c r="AK124" t="s">
        <v>465</v>
      </c>
      <c r="AL124">
        <v>50</v>
      </c>
      <c r="AM124">
        <v>34.61</v>
      </c>
      <c r="AN124" t="s">
        <v>455</v>
      </c>
      <c r="AO124" t="s">
        <v>510</v>
      </c>
      <c r="AP124">
        <v>35.1</v>
      </c>
      <c r="AQ124">
        <v>0.490000000000002</v>
      </c>
      <c r="AR124" t="s">
        <v>466</v>
      </c>
      <c r="AS124" t="s">
        <v>563</v>
      </c>
      <c r="AU124" t="s">
        <v>565</v>
      </c>
      <c r="AV124" s="1" t="s">
        <v>689</v>
      </c>
      <c r="AW124" t="s">
        <v>808</v>
      </c>
      <c r="AX124" t="s">
        <v>878</v>
      </c>
    </row>
    <row r="125" spans="2:50">
      <c r="B125" t="s">
        <v>173</v>
      </c>
      <c r="J125" t="s">
        <v>448</v>
      </c>
      <c r="K125" t="s">
        <v>450</v>
      </c>
      <c r="L125">
        <v>100</v>
      </c>
      <c r="M125">
        <v>37.13</v>
      </c>
      <c r="N125" t="s">
        <v>457</v>
      </c>
      <c r="O125" t="s">
        <v>464</v>
      </c>
      <c r="P125">
        <v>37.1</v>
      </c>
      <c r="Q125">
        <v>0.03000000000000114</v>
      </c>
      <c r="R125" t="s">
        <v>466</v>
      </c>
      <c r="S125" t="s">
        <v>448</v>
      </c>
      <c r="T125" t="s">
        <v>451</v>
      </c>
      <c r="U125">
        <v>90</v>
      </c>
      <c r="V125">
        <v>40.25</v>
      </c>
      <c r="W125" t="s">
        <v>454</v>
      </c>
      <c r="X125" t="s">
        <v>470</v>
      </c>
      <c r="Y125">
        <v>36.3</v>
      </c>
      <c r="Z125">
        <v>3.950000000000003</v>
      </c>
      <c r="AA125" t="s">
        <v>465</v>
      </c>
      <c r="AB125" t="s">
        <v>472</v>
      </c>
      <c r="AD125" t="s">
        <v>480</v>
      </c>
      <c r="AF125">
        <v>36.76</v>
      </c>
      <c r="AG125" t="s">
        <v>501</v>
      </c>
      <c r="AH125" t="s">
        <v>505</v>
      </c>
      <c r="AI125">
        <v>38.3</v>
      </c>
      <c r="AJ125">
        <v>1.539999999999999</v>
      </c>
      <c r="AK125" t="s">
        <v>465</v>
      </c>
      <c r="AL125">
        <v>30</v>
      </c>
      <c r="AM125">
        <v>37.84</v>
      </c>
      <c r="AN125" t="s">
        <v>456</v>
      </c>
      <c r="AO125" t="s">
        <v>515</v>
      </c>
      <c r="AP125">
        <v>37.7</v>
      </c>
      <c r="AQ125">
        <v>0.1400000000000006</v>
      </c>
      <c r="AR125" t="s">
        <v>465</v>
      </c>
      <c r="AS125" t="s">
        <v>449</v>
      </c>
      <c r="AU125" t="s">
        <v>565</v>
      </c>
      <c r="AV125" s="1" t="s">
        <v>690</v>
      </c>
      <c r="AW125" t="s">
        <v>808</v>
      </c>
    </row>
    <row r="126" spans="2:50">
      <c r="B126" t="s">
        <v>174</v>
      </c>
      <c r="E126" t="s">
        <v>384</v>
      </c>
      <c r="J126" t="s">
        <v>448</v>
      </c>
      <c r="K126" t="s">
        <v>451</v>
      </c>
      <c r="L126">
        <v>85</v>
      </c>
      <c r="M126">
        <v>40.24</v>
      </c>
      <c r="N126" t="s">
        <v>452</v>
      </c>
      <c r="O126" t="s">
        <v>462</v>
      </c>
      <c r="P126">
        <v>38.2</v>
      </c>
      <c r="Q126">
        <v>2.039999999999999</v>
      </c>
      <c r="R126" t="s">
        <v>465</v>
      </c>
      <c r="S126" t="s">
        <v>448</v>
      </c>
      <c r="T126" t="s">
        <v>451</v>
      </c>
      <c r="U126">
        <v>15</v>
      </c>
      <c r="V126">
        <v>39.65</v>
      </c>
      <c r="W126" t="s">
        <v>456</v>
      </c>
      <c r="X126" t="s">
        <v>470</v>
      </c>
      <c r="Y126">
        <v>36.3</v>
      </c>
      <c r="Z126">
        <v>3.350000000000001</v>
      </c>
      <c r="AA126" t="s">
        <v>465</v>
      </c>
      <c r="AB126" t="s">
        <v>472</v>
      </c>
      <c r="AD126" t="s">
        <v>488</v>
      </c>
      <c r="AF126">
        <v>38.35</v>
      </c>
      <c r="AG126" t="s">
        <v>456</v>
      </c>
      <c r="AH126" t="s">
        <v>497</v>
      </c>
      <c r="AI126">
        <v>38.3</v>
      </c>
      <c r="AJ126">
        <v>0.05000000000000426</v>
      </c>
      <c r="AK126" t="s">
        <v>466</v>
      </c>
      <c r="AL126">
        <v>60</v>
      </c>
      <c r="AM126">
        <v>36.33</v>
      </c>
      <c r="AN126" t="s">
        <v>452</v>
      </c>
      <c r="AO126" t="s">
        <v>551</v>
      </c>
      <c r="AP126">
        <v>36.3</v>
      </c>
      <c r="AQ126">
        <v>0.03000000000000114</v>
      </c>
      <c r="AR126" t="s">
        <v>465</v>
      </c>
      <c r="AS126" t="s">
        <v>564</v>
      </c>
      <c r="AU126" t="s">
        <v>565</v>
      </c>
      <c r="AV126" s="1" t="s">
        <v>691</v>
      </c>
      <c r="AW126" t="s">
        <v>808</v>
      </c>
      <c r="AX126" t="s">
        <v>848</v>
      </c>
    </row>
    <row r="127" spans="2:50">
      <c r="B127" t="s">
        <v>175</v>
      </c>
      <c r="E127" t="s">
        <v>360</v>
      </c>
      <c r="J127" t="s">
        <v>449</v>
      </c>
      <c r="K127" t="s">
        <v>450</v>
      </c>
      <c r="L127">
        <v>100</v>
      </c>
      <c r="M127">
        <v>40.43</v>
      </c>
      <c r="N127" t="s">
        <v>456</v>
      </c>
      <c r="O127" t="s">
        <v>462</v>
      </c>
      <c r="P127">
        <v>38.2</v>
      </c>
      <c r="Q127">
        <v>2.229999999999997</v>
      </c>
      <c r="R127" t="s">
        <v>466</v>
      </c>
      <c r="S127" t="s">
        <v>449</v>
      </c>
      <c r="T127" t="s">
        <v>468</v>
      </c>
      <c r="U127">
        <v>1</v>
      </c>
      <c r="V127">
        <v>40.99</v>
      </c>
      <c r="W127" t="s">
        <v>456</v>
      </c>
      <c r="X127" t="s">
        <v>470</v>
      </c>
      <c r="Y127">
        <v>36.3</v>
      </c>
      <c r="Z127">
        <v>4.690000000000005</v>
      </c>
      <c r="AA127" t="s">
        <v>466</v>
      </c>
      <c r="AF127">
        <v>38.24</v>
      </c>
      <c r="AG127" t="s">
        <v>499</v>
      </c>
      <c r="AH127" t="s">
        <v>505</v>
      </c>
      <c r="AI127">
        <v>38.3</v>
      </c>
      <c r="AJ127">
        <v>0.05999999999999517</v>
      </c>
      <c r="AK127" t="s">
        <v>467</v>
      </c>
      <c r="AM127">
        <v>35.44</v>
      </c>
      <c r="AN127" t="s">
        <v>455</v>
      </c>
      <c r="AO127" t="s">
        <v>533</v>
      </c>
      <c r="AP127">
        <v>35.1</v>
      </c>
      <c r="AQ127">
        <v>0.3399999999999963</v>
      </c>
      <c r="AR127" t="s">
        <v>467</v>
      </c>
      <c r="AU127" t="s">
        <v>565</v>
      </c>
      <c r="AV127" s="1" t="s">
        <v>692</v>
      </c>
      <c r="AW127" t="s">
        <v>808</v>
      </c>
      <c r="AX127" t="s">
        <v>879</v>
      </c>
    </row>
    <row r="128" spans="2:50">
      <c r="B128" t="s">
        <v>176</v>
      </c>
      <c r="E128" t="s">
        <v>385</v>
      </c>
      <c r="J128" t="s">
        <v>449</v>
      </c>
      <c r="M128">
        <v>39.69</v>
      </c>
      <c r="N128" t="s">
        <v>456</v>
      </c>
      <c r="O128" t="s">
        <v>462</v>
      </c>
      <c r="P128">
        <v>38.2</v>
      </c>
      <c r="Q128">
        <v>1.489999999999995</v>
      </c>
      <c r="R128" t="s">
        <v>466</v>
      </c>
      <c r="S128" t="s">
        <v>449</v>
      </c>
      <c r="V128">
        <v>39.74</v>
      </c>
      <c r="W128" t="s">
        <v>456</v>
      </c>
      <c r="X128" t="s">
        <v>470</v>
      </c>
      <c r="Y128">
        <v>36.3</v>
      </c>
      <c r="Z128">
        <v>3.440000000000005</v>
      </c>
      <c r="AA128" t="s">
        <v>466</v>
      </c>
      <c r="AB128" t="s">
        <v>472</v>
      </c>
      <c r="AD128" t="s">
        <v>488</v>
      </c>
      <c r="AF128">
        <v>39.76</v>
      </c>
      <c r="AG128" t="s">
        <v>500</v>
      </c>
      <c r="AH128" t="s">
        <v>497</v>
      </c>
      <c r="AI128">
        <v>40.4</v>
      </c>
      <c r="AJ128">
        <v>0.6400000000000006</v>
      </c>
      <c r="AK128" t="s">
        <v>465</v>
      </c>
      <c r="AL128">
        <v>40</v>
      </c>
      <c r="AM128">
        <v>35.69</v>
      </c>
      <c r="AN128" t="s">
        <v>457</v>
      </c>
      <c r="AO128" t="s">
        <v>523</v>
      </c>
      <c r="AP128">
        <v>35.1</v>
      </c>
      <c r="AQ128">
        <v>0.5899999999999963</v>
      </c>
      <c r="AR128" t="s">
        <v>466</v>
      </c>
      <c r="AS128" t="s">
        <v>563</v>
      </c>
      <c r="AU128" t="s">
        <v>566</v>
      </c>
      <c r="AV128" s="1" t="s">
        <v>693</v>
      </c>
      <c r="AW128" t="s">
        <v>808</v>
      </c>
      <c r="AX128" t="s">
        <v>815</v>
      </c>
    </row>
    <row r="129" spans="2:50">
      <c r="B129" t="s">
        <v>177</v>
      </c>
      <c r="E129" t="s">
        <v>386</v>
      </c>
      <c r="J129" t="s">
        <v>449</v>
      </c>
      <c r="M129">
        <v>37.75</v>
      </c>
      <c r="N129" t="s">
        <v>457</v>
      </c>
      <c r="O129" t="s">
        <v>464</v>
      </c>
      <c r="P129">
        <v>38.2</v>
      </c>
      <c r="Q129">
        <v>0.4500000000000028</v>
      </c>
      <c r="R129" t="s">
        <v>465</v>
      </c>
      <c r="S129" t="s">
        <v>449</v>
      </c>
      <c r="V129">
        <v>39.36</v>
      </c>
      <c r="W129" t="s">
        <v>457</v>
      </c>
      <c r="X129" t="s">
        <v>470</v>
      </c>
      <c r="Y129">
        <v>36.3</v>
      </c>
      <c r="Z129">
        <v>3.060000000000002</v>
      </c>
      <c r="AA129" t="s">
        <v>465</v>
      </c>
      <c r="AB129" t="s">
        <v>472</v>
      </c>
      <c r="AD129" t="s">
        <v>484</v>
      </c>
      <c r="AF129">
        <v>38.63</v>
      </c>
      <c r="AG129" t="s">
        <v>456</v>
      </c>
      <c r="AH129" t="s">
        <v>497</v>
      </c>
      <c r="AI129">
        <v>38.3</v>
      </c>
      <c r="AJ129">
        <v>0.3300000000000054</v>
      </c>
      <c r="AK129" t="s">
        <v>466</v>
      </c>
      <c r="AL129">
        <v>10</v>
      </c>
      <c r="AM129">
        <v>37.3</v>
      </c>
      <c r="AN129" t="s">
        <v>452</v>
      </c>
      <c r="AO129" t="s">
        <v>531</v>
      </c>
      <c r="AP129">
        <v>37</v>
      </c>
      <c r="AQ129">
        <v>0.2999999999999972</v>
      </c>
      <c r="AR129" t="s">
        <v>466</v>
      </c>
      <c r="AS129" t="s">
        <v>564</v>
      </c>
      <c r="AU129" t="s">
        <v>565</v>
      </c>
      <c r="AV129" s="1" t="s">
        <v>694</v>
      </c>
      <c r="AW129" t="s">
        <v>808</v>
      </c>
      <c r="AX129" t="s">
        <v>880</v>
      </c>
    </row>
    <row r="130" spans="2:50">
      <c r="B130" t="s">
        <v>178</v>
      </c>
      <c r="J130" t="s">
        <v>449</v>
      </c>
      <c r="K130" t="s">
        <v>450</v>
      </c>
      <c r="L130">
        <v>100</v>
      </c>
      <c r="M130">
        <v>40.81</v>
      </c>
      <c r="N130" t="s">
        <v>452</v>
      </c>
      <c r="O130" t="s">
        <v>462</v>
      </c>
      <c r="P130">
        <v>38.2</v>
      </c>
      <c r="Q130">
        <v>2.609999999999999</v>
      </c>
      <c r="R130" t="s">
        <v>466</v>
      </c>
      <c r="S130" t="s">
        <v>448</v>
      </c>
      <c r="T130" t="s">
        <v>468</v>
      </c>
      <c r="U130">
        <v>5</v>
      </c>
      <c r="V130">
        <v>38.99</v>
      </c>
      <c r="W130" t="s">
        <v>456</v>
      </c>
      <c r="X130" t="s">
        <v>470</v>
      </c>
      <c r="Y130">
        <v>36.3</v>
      </c>
      <c r="Z130">
        <v>2.690000000000005</v>
      </c>
      <c r="AA130" t="s">
        <v>465</v>
      </c>
      <c r="AB130" t="s">
        <v>472</v>
      </c>
      <c r="AD130" t="s">
        <v>477</v>
      </c>
      <c r="AF130">
        <v>36.74</v>
      </c>
      <c r="AG130" t="s">
        <v>501</v>
      </c>
      <c r="AH130" t="s">
        <v>505</v>
      </c>
      <c r="AI130">
        <v>38.3</v>
      </c>
      <c r="AJ130">
        <v>1.559999999999995</v>
      </c>
      <c r="AK130" t="s">
        <v>465</v>
      </c>
      <c r="AL130">
        <v>40</v>
      </c>
      <c r="AM130">
        <v>36.43</v>
      </c>
      <c r="AN130" t="s">
        <v>452</v>
      </c>
      <c r="AO130" t="s">
        <v>524</v>
      </c>
      <c r="AP130">
        <v>36.3</v>
      </c>
      <c r="AQ130">
        <v>0.1300000000000026</v>
      </c>
      <c r="AR130" t="s">
        <v>465</v>
      </c>
      <c r="AS130" t="s">
        <v>448</v>
      </c>
      <c r="AT130">
        <v>5</v>
      </c>
      <c r="AU130" t="s">
        <v>565</v>
      </c>
      <c r="AV130" s="1" t="s">
        <v>695</v>
      </c>
      <c r="AW130" t="s">
        <v>808</v>
      </c>
    </row>
    <row r="131" spans="2:50">
      <c r="B131" t="s">
        <v>179</v>
      </c>
      <c r="J131" t="s">
        <v>448</v>
      </c>
      <c r="K131" t="s">
        <v>450</v>
      </c>
      <c r="L131">
        <v>100</v>
      </c>
      <c r="M131">
        <v>37.23</v>
      </c>
      <c r="N131" t="s">
        <v>457</v>
      </c>
      <c r="O131" t="s">
        <v>464</v>
      </c>
      <c r="P131">
        <v>37.1</v>
      </c>
      <c r="Q131">
        <v>0.1299999999999955</v>
      </c>
      <c r="R131" t="s">
        <v>466</v>
      </c>
      <c r="S131" t="s">
        <v>449</v>
      </c>
      <c r="T131" t="s">
        <v>468</v>
      </c>
      <c r="U131">
        <v>2</v>
      </c>
      <c r="V131">
        <v>39.38</v>
      </c>
      <c r="W131" t="s">
        <v>452</v>
      </c>
      <c r="X131" t="s">
        <v>470</v>
      </c>
      <c r="Y131">
        <v>36.3</v>
      </c>
      <c r="Z131">
        <v>3.080000000000005</v>
      </c>
      <c r="AA131" t="s">
        <v>466</v>
      </c>
      <c r="AB131" t="s">
        <v>472</v>
      </c>
      <c r="AD131" t="s">
        <v>478</v>
      </c>
      <c r="AF131">
        <v>39.12</v>
      </c>
      <c r="AG131" t="s">
        <v>496</v>
      </c>
      <c r="AH131" t="s">
        <v>497</v>
      </c>
      <c r="AI131">
        <v>38.3</v>
      </c>
      <c r="AJ131">
        <v>0.8200000000000003</v>
      </c>
      <c r="AK131" t="s">
        <v>465</v>
      </c>
      <c r="AL131">
        <v>30</v>
      </c>
      <c r="AM131">
        <v>36.77</v>
      </c>
      <c r="AN131" t="s">
        <v>452</v>
      </c>
      <c r="AO131" t="s">
        <v>544</v>
      </c>
      <c r="AP131">
        <v>37</v>
      </c>
      <c r="AQ131">
        <v>0.2299999999999969</v>
      </c>
      <c r="AR131" t="s">
        <v>465</v>
      </c>
      <c r="AS131" t="s">
        <v>449</v>
      </c>
      <c r="AT131">
        <v>3</v>
      </c>
      <c r="AU131" t="s">
        <v>565</v>
      </c>
      <c r="AV131" s="1" t="s">
        <v>696</v>
      </c>
      <c r="AW131" t="s">
        <v>808</v>
      </c>
    </row>
    <row r="132" spans="2:50">
      <c r="B132" t="s">
        <v>180</v>
      </c>
      <c r="E132" t="s">
        <v>325</v>
      </c>
      <c r="J132" t="s">
        <v>449</v>
      </c>
      <c r="K132" t="s">
        <v>450</v>
      </c>
      <c r="L132">
        <v>100</v>
      </c>
      <c r="M132">
        <v>38.99</v>
      </c>
      <c r="N132" t="s">
        <v>455</v>
      </c>
      <c r="O132" t="s">
        <v>462</v>
      </c>
      <c r="P132">
        <v>38.2</v>
      </c>
      <c r="Q132">
        <v>0.7899999999999991</v>
      </c>
      <c r="R132" t="s">
        <v>465</v>
      </c>
      <c r="S132" t="s">
        <v>449</v>
      </c>
      <c r="T132" t="s">
        <v>450</v>
      </c>
      <c r="U132">
        <v>100</v>
      </c>
      <c r="V132">
        <v>39.14</v>
      </c>
      <c r="W132" t="s">
        <v>456</v>
      </c>
      <c r="X132" t="s">
        <v>470</v>
      </c>
      <c r="Y132">
        <v>36.3</v>
      </c>
      <c r="Z132">
        <v>2.840000000000003</v>
      </c>
      <c r="AA132" t="s">
        <v>466</v>
      </c>
      <c r="AB132" t="s">
        <v>472</v>
      </c>
      <c r="AD132" t="s">
        <v>488</v>
      </c>
      <c r="AF132">
        <v>38.96</v>
      </c>
      <c r="AG132" t="s">
        <v>496</v>
      </c>
      <c r="AH132" t="s">
        <v>497</v>
      </c>
      <c r="AI132">
        <v>38.3</v>
      </c>
      <c r="AJ132">
        <v>0.6600000000000037</v>
      </c>
      <c r="AK132" t="s">
        <v>465</v>
      </c>
      <c r="AM132">
        <v>35.65</v>
      </c>
      <c r="AN132" t="s">
        <v>455</v>
      </c>
      <c r="AO132" t="s">
        <v>523</v>
      </c>
      <c r="AP132">
        <v>35.1</v>
      </c>
      <c r="AQ132">
        <v>0.5499999999999972</v>
      </c>
      <c r="AR132" t="s">
        <v>467</v>
      </c>
      <c r="AS132" t="s">
        <v>563</v>
      </c>
      <c r="AU132" t="s">
        <v>565</v>
      </c>
      <c r="AV132" s="1" t="s">
        <v>697</v>
      </c>
      <c r="AW132" t="s">
        <v>808</v>
      </c>
      <c r="AX132" t="s">
        <v>881</v>
      </c>
    </row>
    <row r="133" spans="2:50">
      <c r="B133" t="s">
        <v>181</v>
      </c>
      <c r="J133" t="s">
        <v>449</v>
      </c>
      <c r="K133" t="s">
        <v>450</v>
      </c>
      <c r="L133">
        <v>100</v>
      </c>
      <c r="M133">
        <v>40.38</v>
      </c>
      <c r="N133" t="s">
        <v>452</v>
      </c>
      <c r="O133" t="s">
        <v>462</v>
      </c>
      <c r="P133">
        <v>38.2</v>
      </c>
      <c r="Q133">
        <v>2.18</v>
      </c>
      <c r="R133" t="s">
        <v>466</v>
      </c>
      <c r="S133" t="s">
        <v>448</v>
      </c>
      <c r="T133" t="s">
        <v>451</v>
      </c>
      <c r="U133">
        <v>90</v>
      </c>
      <c r="V133">
        <v>38.87</v>
      </c>
      <c r="W133" t="s">
        <v>453</v>
      </c>
      <c r="X133" t="s">
        <v>470</v>
      </c>
      <c r="Y133">
        <v>36.3</v>
      </c>
      <c r="Z133">
        <v>2.57</v>
      </c>
      <c r="AA133" t="s">
        <v>466</v>
      </c>
      <c r="AB133" t="s">
        <v>472</v>
      </c>
      <c r="AD133" t="s">
        <v>480</v>
      </c>
      <c r="AF133">
        <v>40.21</v>
      </c>
      <c r="AG133" t="s">
        <v>456</v>
      </c>
      <c r="AH133" t="s">
        <v>497</v>
      </c>
      <c r="AI133">
        <v>40.4</v>
      </c>
      <c r="AJ133">
        <v>0.1899999999999977</v>
      </c>
      <c r="AK133" t="s">
        <v>466</v>
      </c>
      <c r="AL133">
        <v>30</v>
      </c>
      <c r="AM133">
        <v>34.62</v>
      </c>
      <c r="AN133" t="s">
        <v>453</v>
      </c>
      <c r="AO133" t="s">
        <v>510</v>
      </c>
      <c r="AP133">
        <v>35.1</v>
      </c>
      <c r="AQ133">
        <v>0.480000000000004</v>
      </c>
      <c r="AR133" t="s">
        <v>466</v>
      </c>
      <c r="AS133" t="s">
        <v>449</v>
      </c>
      <c r="AU133" t="s">
        <v>565</v>
      </c>
      <c r="AV133" s="1" t="s">
        <v>698</v>
      </c>
      <c r="AW133" t="s">
        <v>808</v>
      </c>
    </row>
    <row r="134" spans="2:50">
      <c r="B134" t="s">
        <v>182</v>
      </c>
      <c r="E134" t="s">
        <v>387</v>
      </c>
      <c r="J134" t="s">
        <v>448</v>
      </c>
      <c r="K134" t="s">
        <v>451</v>
      </c>
      <c r="L134">
        <v>85</v>
      </c>
      <c r="M134">
        <v>37.04</v>
      </c>
      <c r="N134" t="s">
        <v>457</v>
      </c>
      <c r="O134" t="s">
        <v>463</v>
      </c>
      <c r="P134">
        <v>37.1</v>
      </c>
      <c r="Q134">
        <v>0.06000000000000227</v>
      </c>
      <c r="R134" t="s">
        <v>466</v>
      </c>
      <c r="S134" t="s">
        <v>449</v>
      </c>
      <c r="T134" t="s">
        <v>451</v>
      </c>
      <c r="U134">
        <v>15</v>
      </c>
      <c r="V134">
        <v>39.21</v>
      </c>
      <c r="W134" t="s">
        <v>455</v>
      </c>
      <c r="X134" t="s">
        <v>470</v>
      </c>
      <c r="Y134">
        <v>36.3</v>
      </c>
      <c r="Z134">
        <v>2.910000000000004</v>
      </c>
      <c r="AA134" t="s">
        <v>465</v>
      </c>
      <c r="AB134" t="s">
        <v>472</v>
      </c>
      <c r="AD134" t="s">
        <v>478</v>
      </c>
      <c r="AF134">
        <v>38.83</v>
      </c>
      <c r="AG134" t="s">
        <v>496</v>
      </c>
      <c r="AH134" t="s">
        <v>497</v>
      </c>
      <c r="AI134">
        <v>38.3</v>
      </c>
      <c r="AJ134">
        <v>0.5300000000000011</v>
      </c>
      <c r="AK134" t="s">
        <v>465</v>
      </c>
      <c r="AL134">
        <v>60</v>
      </c>
      <c r="AM134">
        <v>37.85</v>
      </c>
      <c r="AN134" t="s">
        <v>456</v>
      </c>
      <c r="AO134" t="s">
        <v>515</v>
      </c>
      <c r="AP134">
        <v>37.7</v>
      </c>
      <c r="AQ134">
        <v>0.1499999999999986</v>
      </c>
      <c r="AR134" t="s">
        <v>465</v>
      </c>
      <c r="AS134" t="s">
        <v>564</v>
      </c>
      <c r="AU134" t="s">
        <v>565</v>
      </c>
      <c r="AV134" s="1" t="s">
        <v>699</v>
      </c>
      <c r="AW134" t="s">
        <v>808</v>
      </c>
      <c r="AX134" t="s">
        <v>882</v>
      </c>
    </row>
    <row r="135" spans="2:50">
      <c r="B135" t="s">
        <v>183</v>
      </c>
      <c r="E135" t="s">
        <v>388</v>
      </c>
      <c r="J135" t="s">
        <v>448</v>
      </c>
      <c r="K135" t="s">
        <v>450</v>
      </c>
      <c r="L135">
        <v>100</v>
      </c>
      <c r="M135">
        <v>36.19</v>
      </c>
      <c r="N135" t="s">
        <v>455</v>
      </c>
      <c r="O135" t="s">
        <v>463</v>
      </c>
      <c r="P135">
        <v>37.1</v>
      </c>
      <c r="Q135">
        <v>0.9100000000000037</v>
      </c>
      <c r="R135" t="s">
        <v>466</v>
      </c>
      <c r="S135" t="s">
        <v>448</v>
      </c>
      <c r="T135" t="s">
        <v>468</v>
      </c>
      <c r="U135">
        <v>1</v>
      </c>
      <c r="V135">
        <v>40.44</v>
      </c>
      <c r="W135" t="s">
        <v>456</v>
      </c>
      <c r="X135" t="s">
        <v>470</v>
      </c>
      <c r="Y135">
        <v>36.3</v>
      </c>
      <c r="Z135">
        <v>4.140000000000001</v>
      </c>
      <c r="AA135" t="s">
        <v>465</v>
      </c>
      <c r="AF135">
        <v>37.41</v>
      </c>
      <c r="AG135" t="s">
        <v>501</v>
      </c>
      <c r="AH135" t="s">
        <v>505</v>
      </c>
      <c r="AI135">
        <v>38.3</v>
      </c>
      <c r="AJ135">
        <v>0.8900000000000006</v>
      </c>
      <c r="AK135" t="s">
        <v>467</v>
      </c>
      <c r="AM135">
        <v>36.01</v>
      </c>
      <c r="AN135" t="s">
        <v>453</v>
      </c>
      <c r="AO135" t="s">
        <v>512</v>
      </c>
      <c r="AP135">
        <v>36.3</v>
      </c>
      <c r="AQ135">
        <v>0.2899999999999991</v>
      </c>
      <c r="AR135" t="s">
        <v>467</v>
      </c>
      <c r="AU135" t="s">
        <v>565</v>
      </c>
      <c r="AV135" s="1" t="s">
        <v>700</v>
      </c>
      <c r="AW135" t="s">
        <v>808</v>
      </c>
      <c r="AX135" t="s">
        <v>880</v>
      </c>
    </row>
    <row r="136" spans="2:50">
      <c r="B136" t="s">
        <v>184</v>
      </c>
      <c r="E136" t="s">
        <v>389</v>
      </c>
      <c r="J136" t="s">
        <v>449</v>
      </c>
      <c r="M136">
        <v>40.92</v>
      </c>
      <c r="N136" t="s">
        <v>456</v>
      </c>
      <c r="O136" t="s">
        <v>462</v>
      </c>
      <c r="P136">
        <v>38.2</v>
      </c>
      <c r="Q136">
        <v>2.719999999999999</v>
      </c>
      <c r="R136" t="s">
        <v>466</v>
      </c>
      <c r="S136" t="s">
        <v>449</v>
      </c>
      <c r="V136">
        <v>38.7</v>
      </c>
      <c r="W136" t="s">
        <v>457</v>
      </c>
      <c r="X136" t="s">
        <v>470</v>
      </c>
      <c r="Y136">
        <v>36.3</v>
      </c>
      <c r="Z136">
        <v>2.400000000000006</v>
      </c>
      <c r="AA136" t="s">
        <v>465</v>
      </c>
      <c r="AB136" t="s">
        <v>474</v>
      </c>
      <c r="AD136" t="s">
        <v>485</v>
      </c>
      <c r="AF136">
        <v>38.93</v>
      </c>
      <c r="AG136" t="s">
        <v>500</v>
      </c>
      <c r="AH136" t="s">
        <v>497</v>
      </c>
      <c r="AI136">
        <v>38.3</v>
      </c>
      <c r="AJ136">
        <v>0.6300000000000026</v>
      </c>
      <c r="AK136" t="s">
        <v>466</v>
      </c>
      <c r="AM136">
        <v>34.59</v>
      </c>
      <c r="AN136" t="s">
        <v>457</v>
      </c>
      <c r="AO136" t="s">
        <v>510</v>
      </c>
      <c r="AP136">
        <v>35.1</v>
      </c>
      <c r="AQ136">
        <v>0.509999999999998</v>
      </c>
      <c r="AR136" t="s">
        <v>467</v>
      </c>
      <c r="AS136" t="s">
        <v>563</v>
      </c>
      <c r="AU136" t="s">
        <v>566</v>
      </c>
      <c r="AV136" s="1" t="s">
        <v>701</v>
      </c>
      <c r="AW136" t="s">
        <v>808</v>
      </c>
      <c r="AX136" t="s">
        <v>883</v>
      </c>
    </row>
    <row r="137" spans="2:50">
      <c r="B137" t="s">
        <v>185</v>
      </c>
      <c r="E137" t="s">
        <v>390</v>
      </c>
      <c r="J137" t="s">
        <v>448</v>
      </c>
      <c r="M137">
        <v>36.96</v>
      </c>
      <c r="N137" t="s">
        <v>457</v>
      </c>
      <c r="O137" t="s">
        <v>463</v>
      </c>
      <c r="P137">
        <v>37.1</v>
      </c>
      <c r="Q137">
        <v>0.1400000000000006</v>
      </c>
      <c r="R137" t="s">
        <v>466</v>
      </c>
      <c r="S137" t="s">
        <v>449</v>
      </c>
      <c r="V137">
        <v>37.11</v>
      </c>
      <c r="W137" t="s">
        <v>457</v>
      </c>
      <c r="X137" t="s">
        <v>470</v>
      </c>
      <c r="Y137">
        <v>36.3</v>
      </c>
      <c r="Z137">
        <v>0.8100000000000023</v>
      </c>
      <c r="AA137" t="s">
        <v>465</v>
      </c>
      <c r="AB137" t="s">
        <v>474</v>
      </c>
      <c r="AD137" t="s">
        <v>485</v>
      </c>
      <c r="AF137">
        <v>38.62</v>
      </c>
      <c r="AG137" t="s">
        <v>502</v>
      </c>
      <c r="AH137" t="s">
        <v>497</v>
      </c>
      <c r="AI137">
        <v>38.3</v>
      </c>
      <c r="AJ137">
        <v>0.3200000000000003</v>
      </c>
      <c r="AK137" t="s">
        <v>465</v>
      </c>
      <c r="AL137">
        <v>60</v>
      </c>
      <c r="AM137">
        <v>37</v>
      </c>
      <c r="AN137" t="s">
        <v>452</v>
      </c>
      <c r="AO137" t="s">
        <v>530</v>
      </c>
      <c r="AP137">
        <v>37</v>
      </c>
      <c r="AQ137">
        <v>0</v>
      </c>
      <c r="AR137" t="s">
        <v>465</v>
      </c>
      <c r="AS137" t="s">
        <v>564</v>
      </c>
      <c r="AU137" t="s">
        <v>565</v>
      </c>
      <c r="AV137" s="1" t="s">
        <v>702</v>
      </c>
      <c r="AW137" t="s">
        <v>808</v>
      </c>
      <c r="AX137" t="s">
        <v>884</v>
      </c>
    </row>
    <row r="138" spans="2:50">
      <c r="B138" t="s">
        <v>186</v>
      </c>
      <c r="J138" t="s">
        <v>449</v>
      </c>
      <c r="K138" t="s">
        <v>450</v>
      </c>
      <c r="L138">
        <v>100</v>
      </c>
      <c r="M138">
        <v>40.53</v>
      </c>
      <c r="N138" t="s">
        <v>452</v>
      </c>
      <c r="O138" t="s">
        <v>462</v>
      </c>
      <c r="P138">
        <v>38.2</v>
      </c>
      <c r="Q138">
        <v>2.329999999999998</v>
      </c>
      <c r="R138" t="s">
        <v>466</v>
      </c>
      <c r="S138" t="s">
        <v>448</v>
      </c>
      <c r="T138" t="s">
        <v>468</v>
      </c>
      <c r="U138">
        <v>5</v>
      </c>
      <c r="V138">
        <v>38.22</v>
      </c>
      <c r="W138" t="s">
        <v>452</v>
      </c>
      <c r="X138" t="s">
        <v>470</v>
      </c>
      <c r="Y138">
        <v>36.3</v>
      </c>
      <c r="Z138">
        <v>1.920000000000002</v>
      </c>
      <c r="AA138" t="s">
        <v>465</v>
      </c>
      <c r="AB138" t="s">
        <v>472</v>
      </c>
      <c r="AD138" t="s">
        <v>477</v>
      </c>
      <c r="AF138">
        <v>36.2</v>
      </c>
      <c r="AG138" t="s">
        <v>496</v>
      </c>
      <c r="AH138" t="s">
        <v>505</v>
      </c>
      <c r="AI138">
        <v>38.3</v>
      </c>
      <c r="AJ138">
        <v>2.099999999999994</v>
      </c>
      <c r="AK138" t="s">
        <v>465</v>
      </c>
      <c r="AL138">
        <v>25</v>
      </c>
      <c r="AM138">
        <v>35.64</v>
      </c>
      <c r="AN138" t="s">
        <v>453</v>
      </c>
      <c r="AO138" t="s">
        <v>523</v>
      </c>
      <c r="AP138">
        <v>35.1</v>
      </c>
      <c r="AQ138">
        <v>0.5399999999999991</v>
      </c>
      <c r="AR138" t="s">
        <v>466</v>
      </c>
      <c r="AS138" t="s">
        <v>448</v>
      </c>
      <c r="AT138">
        <v>5</v>
      </c>
      <c r="AU138" t="s">
        <v>565</v>
      </c>
      <c r="AV138" s="1" t="s">
        <v>703</v>
      </c>
      <c r="AW138" t="s">
        <v>808</v>
      </c>
    </row>
    <row r="139" spans="2:50">
      <c r="B139" t="s">
        <v>187</v>
      </c>
      <c r="J139" t="s">
        <v>448</v>
      </c>
      <c r="K139" t="s">
        <v>450</v>
      </c>
      <c r="L139">
        <v>100</v>
      </c>
      <c r="M139">
        <v>37.31</v>
      </c>
      <c r="N139" t="s">
        <v>455</v>
      </c>
      <c r="O139" t="s">
        <v>464</v>
      </c>
      <c r="P139">
        <v>37.1</v>
      </c>
      <c r="Q139">
        <v>0.2100000000000009</v>
      </c>
      <c r="R139" t="s">
        <v>466</v>
      </c>
      <c r="S139" t="s">
        <v>448</v>
      </c>
      <c r="T139" t="s">
        <v>468</v>
      </c>
      <c r="U139">
        <v>2</v>
      </c>
      <c r="V139">
        <v>39.59</v>
      </c>
      <c r="W139" t="s">
        <v>454</v>
      </c>
      <c r="X139" t="s">
        <v>470</v>
      </c>
      <c r="Y139">
        <v>36.3</v>
      </c>
      <c r="Z139">
        <v>3.290000000000006</v>
      </c>
      <c r="AA139" t="s">
        <v>465</v>
      </c>
      <c r="AB139" t="s">
        <v>472</v>
      </c>
      <c r="AD139" t="s">
        <v>478</v>
      </c>
      <c r="AF139">
        <v>36.44</v>
      </c>
      <c r="AG139" t="s">
        <v>455</v>
      </c>
      <c r="AH139" t="s">
        <v>505</v>
      </c>
      <c r="AI139">
        <v>38.3</v>
      </c>
      <c r="AJ139">
        <v>1.859999999999999</v>
      </c>
      <c r="AK139" t="s">
        <v>465</v>
      </c>
      <c r="AL139">
        <v>60</v>
      </c>
      <c r="AM139">
        <v>35.44</v>
      </c>
      <c r="AN139" t="s">
        <v>453</v>
      </c>
      <c r="AO139" t="s">
        <v>533</v>
      </c>
      <c r="AP139">
        <v>35.1</v>
      </c>
      <c r="AQ139">
        <v>0.3399999999999963</v>
      </c>
      <c r="AR139" t="s">
        <v>466</v>
      </c>
      <c r="AS139" t="s">
        <v>449</v>
      </c>
      <c r="AT139">
        <v>3</v>
      </c>
      <c r="AU139" t="s">
        <v>565</v>
      </c>
      <c r="AV139" s="1" t="s">
        <v>704</v>
      </c>
      <c r="AW139" t="s">
        <v>808</v>
      </c>
    </row>
    <row r="140" spans="2:50">
      <c r="B140" t="s">
        <v>188</v>
      </c>
      <c r="E140" t="s">
        <v>325</v>
      </c>
      <c r="J140" t="s">
        <v>449</v>
      </c>
      <c r="K140" t="s">
        <v>450</v>
      </c>
      <c r="L140">
        <v>100</v>
      </c>
      <c r="M140">
        <v>38.61</v>
      </c>
      <c r="N140" t="s">
        <v>455</v>
      </c>
      <c r="O140" t="s">
        <v>462</v>
      </c>
      <c r="P140">
        <v>38.2</v>
      </c>
      <c r="Q140">
        <v>0.4099999999999966</v>
      </c>
      <c r="R140" t="s">
        <v>465</v>
      </c>
      <c r="S140" t="s">
        <v>448</v>
      </c>
      <c r="T140" t="s">
        <v>450</v>
      </c>
      <c r="U140">
        <v>100</v>
      </c>
      <c r="V140">
        <v>38.19</v>
      </c>
      <c r="W140" t="s">
        <v>453</v>
      </c>
      <c r="X140" t="s">
        <v>470</v>
      </c>
      <c r="Y140">
        <v>36.3</v>
      </c>
      <c r="Z140">
        <v>1.890000000000001</v>
      </c>
      <c r="AA140" t="s">
        <v>466</v>
      </c>
      <c r="AC140" t="s">
        <v>475</v>
      </c>
      <c r="AD140" t="s">
        <v>487</v>
      </c>
      <c r="AF140">
        <v>38.66</v>
      </c>
      <c r="AG140" t="s">
        <v>455</v>
      </c>
      <c r="AH140" t="s">
        <v>497</v>
      </c>
      <c r="AI140">
        <v>38.3</v>
      </c>
      <c r="AJ140">
        <v>0.3599999999999994</v>
      </c>
      <c r="AK140" t="s">
        <v>467</v>
      </c>
      <c r="AL140">
        <v>15</v>
      </c>
      <c r="AM140">
        <v>37.16</v>
      </c>
      <c r="AN140" t="s">
        <v>454</v>
      </c>
      <c r="AO140" t="s">
        <v>511</v>
      </c>
      <c r="AP140">
        <v>37</v>
      </c>
      <c r="AQ140">
        <v>0.1599999999999966</v>
      </c>
      <c r="AR140" t="s">
        <v>466</v>
      </c>
      <c r="AS140" t="s">
        <v>563</v>
      </c>
      <c r="AU140" t="s">
        <v>565</v>
      </c>
      <c r="AV140" s="1" t="s">
        <v>705</v>
      </c>
      <c r="AW140" t="s">
        <v>808</v>
      </c>
      <c r="AX140" t="s">
        <v>885</v>
      </c>
    </row>
    <row r="141" spans="2:50">
      <c r="B141" t="s">
        <v>189</v>
      </c>
      <c r="J141" t="s">
        <v>448</v>
      </c>
      <c r="K141" t="s">
        <v>450</v>
      </c>
      <c r="L141">
        <v>100</v>
      </c>
      <c r="M141">
        <v>40.31</v>
      </c>
      <c r="N141" t="s">
        <v>452</v>
      </c>
      <c r="O141" t="s">
        <v>462</v>
      </c>
      <c r="P141">
        <v>38.2</v>
      </c>
      <c r="Q141">
        <v>2.109999999999999</v>
      </c>
      <c r="R141" t="s">
        <v>465</v>
      </c>
      <c r="S141" t="s">
        <v>449</v>
      </c>
      <c r="T141" t="s">
        <v>451</v>
      </c>
      <c r="U141">
        <v>90</v>
      </c>
      <c r="V141">
        <v>39.31</v>
      </c>
      <c r="W141" t="s">
        <v>452</v>
      </c>
      <c r="X141" t="s">
        <v>470</v>
      </c>
      <c r="Y141">
        <v>36.3</v>
      </c>
      <c r="Z141">
        <v>3.010000000000005</v>
      </c>
      <c r="AA141" t="s">
        <v>466</v>
      </c>
      <c r="AB141" t="s">
        <v>472</v>
      </c>
      <c r="AD141" t="s">
        <v>480</v>
      </c>
      <c r="AF141">
        <v>36.71</v>
      </c>
      <c r="AG141" t="s">
        <v>455</v>
      </c>
      <c r="AH141" t="s">
        <v>505</v>
      </c>
      <c r="AI141">
        <v>38.3</v>
      </c>
      <c r="AJ141">
        <v>1.589999999999996</v>
      </c>
      <c r="AK141" t="s">
        <v>465</v>
      </c>
      <c r="AL141">
        <v>20</v>
      </c>
      <c r="AM141">
        <v>34.78</v>
      </c>
      <c r="AN141" t="s">
        <v>455</v>
      </c>
      <c r="AO141" t="s">
        <v>510</v>
      </c>
      <c r="AP141">
        <v>35.1</v>
      </c>
      <c r="AQ141">
        <v>0.3200000000000003</v>
      </c>
      <c r="AR141" t="s">
        <v>466</v>
      </c>
      <c r="AS141" t="s">
        <v>449</v>
      </c>
      <c r="AU141" t="s">
        <v>565</v>
      </c>
      <c r="AV141" s="1" t="s">
        <v>706</v>
      </c>
      <c r="AW141" t="s">
        <v>808</v>
      </c>
    </row>
    <row r="142" spans="2:50">
      <c r="B142" t="s">
        <v>190</v>
      </c>
      <c r="E142" t="s">
        <v>391</v>
      </c>
      <c r="J142" t="s">
        <v>449</v>
      </c>
      <c r="K142" t="s">
        <v>451</v>
      </c>
      <c r="L142">
        <v>85</v>
      </c>
      <c r="M142">
        <v>38.8</v>
      </c>
      <c r="N142" t="s">
        <v>452</v>
      </c>
      <c r="O142" t="s">
        <v>462</v>
      </c>
      <c r="P142">
        <v>38.2</v>
      </c>
      <c r="Q142">
        <v>0.5999999999999943</v>
      </c>
      <c r="R142" t="s">
        <v>466</v>
      </c>
      <c r="S142" t="s">
        <v>448</v>
      </c>
      <c r="T142" t="s">
        <v>451</v>
      </c>
      <c r="U142">
        <v>15</v>
      </c>
      <c r="V142">
        <v>38.01</v>
      </c>
      <c r="W142" t="s">
        <v>454</v>
      </c>
      <c r="X142" t="s">
        <v>470</v>
      </c>
      <c r="Y142">
        <v>36.3</v>
      </c>
      <c r="Z142">
        <v>1.710000000000001</v>
      </c>
      <c r="AA142" t="s">
        <v>465</v>
      </c>
      <c r="AB142" t="s">
        <v>472</v>
      </c>
      <c r="AD142" t="s">
        <v>478</v>
      </c>
      <c r="AF142">
        <v>38.88</v>
      </c>
      <c r="AG142" t="s">
        <v>456</v>
      </c>
      <c r="AH142" t="s">
        <v>497</v>
      </c>
      <c r="AI142">
        <v>38.3</v>
      </c>
      <c r="AJ142">
        <v>0.5800000000000054</v>
      </c>
      <c r="AK142" t="s">
        <v>466</v>
      </c>
      <c r="AL142">
        <v>50</v>
      </c>
      <c r="AM142">
        <v>37.63</v>
      </c>
      <c r="AN142" t="s">
        <v>452</v>
      </c>
      <c r="AO142" t="s">
        <v>540</v>
      </c>
      <c r="AP142">
        <v>37.7</v>
      </c>
      <c r="AQ142">
        <v>0.07000000000000028</v>
      </c>
      <c r="AR142" t="s">
        <v>465</v>
      </c>
      <c r="AS142" t="s">
        <v>564</v>
      </c>
      <c r="AU142" t="s">
        <v>565</v>
      </c>
      <c r="AV142" s="1" t="s">
        <v>707</v>
      </c>
      <c r="AW142" t="s">
        <v>808</v>
      </c>
      <c r="AX142" t="s">
        <v>886</v>
      </c>
    </row>
    <row r="143" spans="2:50">
      <c r="B143" t="s">
        <v>191</v>
      </c>
      <c r="E143" t="s">
        <v>392</v>
      </c>
      <c r="J143" t="s">
        <v>448</v>
      </c>
      <c r="K143" t="s">
        <v>450</v>
      </c>
      <c r="L143">
        <v>100</v>
      </c>
      <c r="M143">
        <v>38.18</v>
      </c>
      <c r="N143" t="s">
        <v>457</v>
      </c>
      <c r="O143" t="s">
        <v>464</v>
      </c>
      <c r="P143">
        <v>38.2</v>
      </c>
      <c r="Q143">
        <v>0.02000000000000313</v>
      </c>
      <c r="R143" t="s">
        <v>466</v>
      </c>
      <c r="S143" t="s">
        <v>448</v>
      </c>
      <c r="T143" t="s">
        <v>468</v>
      </c>
      <c r="U143">
        <v>1</v>
      </c>
      <c r="V143">
        <v>39.34</v>
      </c>
      <c r="W143" t="s">
        <v>454</v>
      </c>
      <c r="X143" t="s">
        <v>470</v>
      </c>
      <c r="Y143">
        <v>36.3</v>
      </c>
      <c r="Z143">
        <v>3.040000000000006</v>
      </c>
      <c r="AA143" t="s">
        <v>465</v>
      </c>
      <c r="AF143">
        <v>38.46</v>
      </c>
      <c r="AG143" t="s">
        <v>499</v>
      </c>
      <c r="AH143" t="s">
        <v>497</v>
      </c>
      <c r="AI143">
        <v>38.3</v>
      </c>
      <c r="AJ143">
        <v>0.1600000000000037</v>
      </c>
      <c r="AK143" t="s">
        <v>467</v>
      </c>
      <c r="AM143">
        <v>36.47</v>
      </c>
      <c r="AN143" t="s">
        <v>452</v>
      </c>
      <c r="AO143" t="s">
        <v>524</v>
      </c>
      <c r="AP143">
        <v>36.3</v>
      </c>
      <c r="AQ143">
        <v>0.1700000000000017</v>
      </c>
      <c r="AR143" t="s">
        <v>467</v>
      </c>
      <c r="AU143" t="s">
        <v>565</v>
      </c>
      <c r="AV143" s="1" t="s">
        <v>708</v>
      </c>
      <c r="AW143" t="s">
        <v>808</v>
      </c>
      <c r="AX143" t="s">
        <v>846</v>
      </c>
    </row>
    <row r="144" spans="2:50">
      <c r="B144" t="s">
        <v>192</v>
      </c>
      <c r="E144" t="s">
        <v>393</v>
      </c>
      <c r="J144" t="s">
        <v>448</v>
      </c>
      <c r="M144">
        <v>39.18</v>
      </c>
      <c r="N144" t="s">
        <v>457</v>
      </c>
      <c r="O144" t="s">
        <v>462</v>
      </c>
      <c r="P144">
        <v>38.2</v>
      </c>
      <c r="Q144">
        <v>0.9799999999999969</v>
      </c>
      <c r="R144" t="s">
        <v>466</v>
      </c>
      <c r="S144" t="s">
        <v>449</v>
      </c>
      <c r="V144">
        <v>39.6</v>
      </c>
      <c r="W144" t="s">
        <v>452</v>
      </c>
      <c r="X144" t="s">
        <v>470</v>
      </c>
      <c r="Y144">
        <v>36.3</v>
      </c>
      <c r="Z144">
        <v>3.300000000000004</v>
      </c>
      <c r="AA144" t="s">
        <v>466</v>
      </c>
      <c r="AB144" t="s">
        <v>474</v>
      </c>
      <c r="AD144" t="s">
        <v>485</v>
      </c>
      <c r="AF144">
        <v>37.05</v>
      </c>
      <c r="AG144" t="s">
        <v>501</v>
      </c>
      <c r="AH144" t="s">
        <v>505</v>
      </c>
      <c r="AI144">
        <v>38.3</v>
      </c>
      <c r="AJ144">
        <v>1.25</v>
      </c>
      <c r="AK144" t="s">
        <v>466</v>
      </c>
      <c r="AL144">
        <v>15</v>
      </c>
      <c r="AM144">
        <v>34.61</v>
      </c>
      <c r="AN144" t="s">
        <v>455</v>
      </c>
      <c r="AO144" t="s">
        <v>510</v>
      </c>
      <c r="AP144">
        <v>35.1</v>
      </c>
      <c r="AQ144">
        <v>0.490000000000002</v>
      </c>
      <c r="AR144" t="s">
        <v>465</v>
      </c>
      <c r="AS144" t="s">
        <v>563</v>
      </c>
      <c r="AU144" t="s">
        <v>566</v>
      </c>
      <c r="AV144" s="1" t="s">
        <v>709</v>
      </c>
      <c r="AW144" t="s">
        <v>808</v>
      </c>
      <c r="AX144" t="s">
        <v>874</v>
      </c>
    </row>
    <row r="145" spans="2:50">
      <c r="B145" t="s">
        <v>193</v>
      </c>
      <c r="E145" t="s">
        <v>394</v>
      </c>
      <c r="J145" t="s">
        <v>448</v>
      </c>
      <c r="M145">
        <v>37.14</v>
      </c>
      <c r="N145" t="s">
        <v>453</v>
      </c>
      <c r="O145" t="s">
        <v>464</v>
      </c>
      <c r="P145">
        <v>37.1</v>
      </c>
      <c r="Q145">
        <v>0.03999999999999915</v>
      </c>
      <c r="R145" t="s">
        <v>466</v>
      </c>
      <c r="S145" t="s">
        <v>449</v>
      </c>
      <c r="V145">
        <v>40.53</v>
      </c>
      <c r="W145" t="s">
        <v>452</v>
      </c>
      <c r="X145" t="s">
        <v>470</v>
      </c>
      <c r="Y145">
        <v>36.3</v>
      </c>
      <c r="Z145">
        <v>4.230000000000004</v>
      </c>
      <c r="AA145" t="s">
        <v>466</v>
      </c>
      <c r="AB145" t="s">
        <v>474</v>
      </c>
      <c r="AD145" t="s">
        <v>485</v>
      </c>
      <c r="AF145">
        <v>38.58</v>
      </c>
      <c r="AG145" t="s">
        <v>456</v>
      </c>
      <c r="AH145" t="s">
        <v>497</v>
      </c>
      <c r="AI145">
        <v>38.3</v>
      </c>
      <c r="AJ145">
        <v>0.2800000000000011</v>
      </c>
      <c r="AK145" t="s">
        <v>465</v>
      </c>
      <c r="AL145">
        <v>15</v>
      </c>
      <c r="AM145">
        <v>37.49</v>
      </c>
      <c r="AN145" t="s">
        <v>454</v>
      </c>
      <c r="AO145" t="s">
        <v>508</v>
      </c>
      <c r="AP145">
        <v>37.7</v>
      </c>
      <c r="AQ145">
        <v>0.2100000000000009</v>
      </c>
      <c r="AR145" t="s">
        <v>466</v>
      </c>
      <c r="AS145" t="s">
        <v>564</v>
      </c>
      <c r="AU145" t="s">
        <v>565</v>
      </c>
      <c r="AV145" s="1" t="s">
        <v>710</v>
      </c>
      <c r="AW145" t="s">
        <v>808</v>
      </c>
      <c r="AX145" t="s">
        <v>887</v>
      </c>
    </row>
    <row r="146" spans="2:50">
      <c r="B146" t="s">
        <v>194</v>
      </c>
      <c r="J146" t="s">
        <v>449</v>
      </c>
      <c r="K146" t="s">
        <v>450</v>
      </c>
      <c r="L146">
        <v>100</v>
      </c>
      <c r="M146">
        <v>36.41</v>
      </c>
      <c r="N146" t="s">
        <v>453</v>
      </c>
      <c r="O146" t="s">
        <v>463</v>
      </c>
      <c r="P146">
        <v>37.1</v>
      </c>
      <c r="Q146">
        <v>0.6900000000000048</v>
      </c>
      <c r="R146" t="s">
        <v>465</v>
      </c>
      <c r="S146" t="s">
        <v>448</v>
      </c>
      <c r="T146" t="s">
        <v>468</v>
      </c>
      <c r="U146">
        <v>5</v>
      </c>
      <c r="V146">
        <v>36.38</v>
      </c>
      <c r="W146" t="s">
        <v>453</v>
      </c>
      <c r="X146" t="s">
        <v>470</v>
      </c>
      <c r="Y146">
        <v>36.3</v>
      </c>
      <c r="Z146">
        <v>0.0800000000000054</v>
      </c>
      <c r="AA146" t="s">
        <v>466</v>
      </c>
      <c r="AB146" t="s">
        <v>472</v>
      </c>
      <c r="AD146" t="s">
        <v>477</v>
      </c>
      <c r="AF146">
        <v>38.1</v>
      </c>
      <c r="AG146" t="s">
        <v>496</v>
      </c>
      <c r="AH146" t="s">
        <v>505</v>
      </c>
      <c r="AI146">
        <v>38.3</v>
      </c>
      <c r="AJ146">
        <v>0.1999999999999957</v>
      </c>
      <c r="AK146" t="s">
        <v>465</v>
      </c>
      <c r="AM146">
        <v>34.84</v>
      </c>
      <c r="AN146" t="s">
        <v>453</v>
      </c>
      <c r="AO146" t="s">
        <v>510</v>
      </c>
      <c r="AP146">
        <v>35.1</v>
      </c>
      <c r="AQ146">
        <v>0.259999999999998</v>
      </c>
      <c r="AR146" t="s">
        <v>467</v>
      </c>
      <c r="AS146" t="s">
        <v>448</v>
      </c>
      <c r="AT146">
        <v>5</v>
      </c>
      <c r="AU146" t="s">
        <v>565</v>
      </c>
      <c r="AV146" s="1" t="s">
        <v>711</v>
      </c>
      <c r="AW146" t="s">
        <v>808</v>
      </c>
    </row>
    <row r="147" spans="2:50">
      <c r="B147" t="s">
        <v>195</v>
      </c>
      <c r="J147" t="s">
        <v>449</v>
      </c>
      <c r="K147" t="s">
        <v>450</v>
      </c>
      <c r="L147">
        <v>100</v>
      </c>
      <c r="M147">
        <v>36.4</v>
      </c>
      <c r="N147" t="s">
        <v>457</v>
      </c>
      <c r="O147" t="s">
        <v>463</v>
      </c>
      <c r="P147">
        <v>37.1</v>
      </c>
      <c r="Q147">
        <v>0.7000000000000028</v>
      </c>
      <c r="R147" t="s">
        <v>465</v>
      </c>
      <c r="S147" t="s">
        <v>448</v>
      </c>
      <c r="T147" t="s">
        <v>468</v>
      </c>
      <c r="U147">
        <v>2</v>
      </c>
      <c r="V147">
        <v>38.34</v>
      </c>
      <c r="W147" t="s">
        <v>457</v>
      </c>
      <c r="X147" t="s">
        <v>470</v>
      </c>
      <c r="Y147">
        <v>36.3</v>
      </c>
      <c r="Z147">
        <v>2.040000000000006</v>
      </c>
      <c r="AA147" t="s">
        <v>466</v>
      </c>
      <c r="AB147" t="s">
        <v>472</v>
      </c>
      <c r="AD147" t="s">
        <v>478</v>
      </c>
      <c r="AF147">
        <v>36.75</v>
      </c>
      <c r="AG147" t="s">
        <v>455</v>
      </c>
      <c r="AH147" t="s">
        <v>505</v>
      </c>
      <c r="AI147">
        <v>38.3</v>
      </c>
      <c r="AJ147">
        <v>1.549999999999997</v>
      </c>
      <c r="AK147" t="s">
        <v>465</v>
      </c>
      <c r="AL147">
        <v>20</v>
      </c>
      <c r="AM147">
        <v>37.22</v>
      </c>
      <c r="AN147" t="s">
        <v>456</v>
      </c>
      <c r="AO147" t="s">
        <v>552</v>
      </c>
      <c r="AP147">
        <v>37</v>
      </c>
      <c r="AQ147">
        <v>0.2199999999999989</v>
      </c>
      <c r="AR147" t="s">
        <v>465</v>
      </c>
      <c r="AS147" t="s">
        <v>449</v>
      </c>
      <c r="AT147">
        <v>3</v>
      </c>
      <c r="AU147" t="s">
        <v>565</v>
      </c>
      <c r="AV147" s="1" t="s">
        <v>712</v>
      </c>
      <c r="AW147" t="s">
        <v>808</v>
      </c>
    </row>
    <row r="148" spans="2:50">
      <c r="B148" t="s">
        <v>196</v>
      </c>
      <c r="E148" t="s">
        <v>325</v>
      </c>
      <c r="J148" t="s">
        <v>449</v>
      </c>
      <c r="K148" t="s">
        <v>450</v>
      </c>
      <c r="L148">
        <v>100</v>
      </c>
      <c r="M148">
        <v>39.87</v>
      </c>
      <c r="N148" t="s">
        <v>453</v>
      </c>
      <c r="O148" t="s">
        <v>462</v>
      </c>
      <c r="P148">
        <v>38.2</v>
      </c>
      <c r="Q148">
        <v>1.669999999999995</v>
      </c>
      <c r="R148" t="s">
        <v>465</v>
      </c>
      <c r="S148" t="s">
        <v>448</v>
      </c>
      <c r="T148" t="s">
        <v>450</v>
      </c>
      <c r="U148">
        <v>100</v>
      </c>
      <c r="V148">
        <v>39.61</v>
      </c>
      <c r="W148" t="s">
        <v>457</v>
      </c>
      <c r="X148" t="s">
        <v>470</v>
      </c>
      <c r="Y148">
        <v>36.3</v>
      </c>
      <c r="Z148">
        <v>3.310000000000002</v>
      </c>
      <c r="AA148" t="s">
        <v>466</v>
      </c>
      <c r="AB148" t="s">
        <v>472</v>
      </c>
      <c r="AD148" t="s">
        <v>486</v>
      </c>
      <c r="AF148">
        <v>39.13</v>
      </c>
      <c r="AG148" t="s">
        <v>456</v>
      </c>
      <c r="AH148" t="s">
        <v>497</v>
      </c>
      <c r="AI148">
        <v>38.3</v>
      </c>
      <c r="AJ148">
        <v>0.8300000000000054</v>
      </c>
      <c r="AK148" t="s">
        <v>466</v>
      </c>
      <c r="AL148">
        <v>15</v>
      </c>
      <c r="AM148">
        <v>36.11</v>
      </c>
      <c r="AN148" t="s">
        <v>455</v>
      </c>
      <c r="AO148" t="s">
        <v>542</v>
      </c>
      <c r="AP148">
        <v>36.3</v>
      </c>
      <c r="AQ148">
        <v>0.1899999999999977</v>
      </c>
      <c r="AR148" t="s">
        <v>465</v>
      </c>
      <c r="AS148" t="s">
        <v>563</v>
      </c>
      <c r="AU148" t="s">
        <v>565</v>
      </c>
      <c r="AV148" s="1" t="s">
        <v>713</v>
      </c>
      <c r="AW148" t="s">
        <v>808</v>
      </c>
      <c r="AX148" t="s">
        <v>888</v>
      </c>
    </row>
    <row r="149" spans="2:50">
      <c r="B149" t="s">
        <v>197</v>
      </c>
      <c r="J149" t="s">
        <v>448</v>
      </c>
      <c r="K149" t="s">
        <v>450</v>
      </c>
      <c r="L149">
        <v>100</v>
      </c>
      <c r="M149">
        <v>37.94</v>
      </c>
      <c r="N149" t="s">
        <v>455</v>
      </c>
      <c r="O149" t="s">
        <v>464</v>
      </c>
      <c r="P149">
        <v>38.2</v>
      </c>
      <c r="Q149">
        <v>0.2600000000000051</v>
      </c>
      <c r="R149" t="s">
        <v>466</v>
      </c>
      <c r="S149" t="s">
        <v>449</v>
      </c>
      <c r="T149" t="s">
        <v>451</v>
      </c>
      <c r="U149">
        <v>90</v>
      </c>
      <c r="V149">
        <v>39.73</v>
      </c>
      <c r="W149" t="s">
        <v>452</v>
      </c>
      <c r="X149" t="s">
        <v>470</v>
      </c>
      <c r="Y149">
        <v>36.3</v>
      </c>
      <c r="Z149">
        <v>3.43</v>
      </c>
      <c r="AA149" t="s">
        <v>466</v>
      </c>
      <c r="AB149" t="s">
        <v>472</v>
      </c>
      <c r="AD149" t="s">
        <v>480</v>
      </c>
      <c r="AF149">
        <v>38.52</v>
      </c>
      <c r="AG149" t="s">
        <v>502</v>
      </c>
      <c r="AH149" t="s">
        <v>497</v>
      </c>
      <c r="AI149">
        <v>38.3</v>
      </c>
      <c r="AJ149">
        <v>0.220000000000006</v>
      </c>
      <c r="AK149" t="s">
        <v>466</v>
      </c>
      <c r="AM149">
        <v>36.95</v>
      </c>
      <c r="AN149" t="s">
        <v>452</v>
      </c>
      <c r="AO149" t="s">
        <v>516</v>
      </c>
      <c r="AP149">
        <v>37</v>
      </c>
      <c r="AQ149">
        <v>0.04999999999999716</v>
      </c>
      <c r="AR149" t="s">
        <v>467</v>
      </c>
      <c r="AS149" t="s">
        <v>449</v>
      </c>
      <c r="AU149" t="s">
        <v>565</v>
      </c>
      <c r="AV149" s="1" t="s">
        <v>714</v>
      </c>
      <c r="AW149" t="s">
        <v>808</v>
      </c>
    </row>
    <row r="150" spans="2:50">
      <c r="B150" t="s">
        <v>198</v>
      </c>
      <c r="E150" t="s">
        <v>395</v>
      </c>
      <c r="J150" t="s">
        <v>449</v>
      </c>
      <c r="K150" t="s">
        <v>451</v>
      </c>
      <c r="L150">
        <v>85</v>
      </c>
      <c r="M150">
        <v>40.22</v>
      </c>
      <c r="N150" t="s">
        <v>454</v>
      </c>
      <c r="O150" t="s">
        <v>462</v>
      </c>
      <c r="P150">
        <v>38.2</v>
      </c>
      <c r="Q150">
        <v>2.019999999999996</v>
      </c>
      <c r="R150" t="s">
        <v>466</v>
      </c>
      <c r="S150" t="s">
        <v>448</v>
      </c>
      <c r="T150" t="s">
        <v>451</v>
      </c>
      <c r="U150">
        <v>15</v>
      </c>
      <c r="V150">
        <v>37.02</v>
      </c>
      <c r="W150" t="s">
        <v>455</v>
      </c>
      <c r="X150" t="s">
        <v>470</v>
      </c>
      <c r="Y150">
        <v>36.3</v>
      </c>
      <c r="Z150">
        <v>0.720000000000006</v>
      </c>
      <c r="AA150" t="s">
        <v>466</v>
      </c>
      <c r="AB150" t="s">
        <v>472</v>
      </c>
      <c r="AD150" t="s">
        <v>484</v>
      </c>
      <c r="AF150">
        <v>38.39</v>
      </c>
      <c r="AG150" t="s">
        <v>496</v>
      </c>
      <c r="AH150" t="s">
        <v>497</v>
      </c>
      <c r="AI150">
        <v>38.3</v>
      </c>
      <c r="AJ150">
        <v>0.09000000000000341</v>
      </c>
      <c r="AK150" t="s">
        <v>465</v>
      </c>
      <c r="AL150">
        <v>10</v>
      </c>
      <c r="AM150">
        <v>37.91</v>
      </c>
      <c r="AN150" t="s">
        <v>452</v>
      </c>
      <c r="AO150" t="s">
        <v>515</v>
      </c>
      <c r="AP150">
        <v>37.7</v>
      </c>
      <c r="AQ150">
        <v>0.2099999999999937</v>
      </c>
      <c r="AR150" t="s">
        <v>466</v>
      </c>
      <c r="AS150" t="s">
        <v>564</v>
      </c>
      <c r="AU150" t="s">
        <v>565</v>
      </c>
      <c r="AV150" s="1" t="s">
        <v>715</v>
      </c>
      <c r="AW150" t="s">
        <v>808</v>
      </c>
      <c r="AX150" t="s">
        <v>889</v>
      </c>
    </row>
    <row r="151" spans="2:50">
      <c r="B151" t="s">
        <v>199</v>
      </c>
      <c r="E151" t="s">
        <v>396</v>
      </c>
      <c r="J151" t="s">
        <v>448</v>
      </c>
      <c r="K151" t="s">
        <v>450</v>
      </c>
      <c r="L151">
        <v>100</v>
      </c>
      <c r="M151">
        <v>38.37</v>
      </c>
      <c r="N151" t="s">
        <v>456</v>
      </c>
      <c r="O151" t="s">
        <v>462</v>
      </c>
      <c r="P151">
        <v>38.2</v>
      </c>
      <c r="Q151">
        <v>0.1699999999999946</v>
      </c>
      <c r="R151" t="s">
        <v>465</v>
      </c>
      <c r="S151" t="s">
        <v>448</v>
      </c>
      <c r="T151" t="s">
        <v>468</v>
      </c>
      <c r="U151">
        <v>1</v>
      </c>
      <c r="V151">
        <v>40.12</v>
      </c>
      <c r="W151" t="s">
        <v>452</v>
      </c>
      <c r="X151" t="s">
        <v>470</v>
      </c>
      <c r="Y151">
        <v>36.3</v>
      </c>
      <c r="Z151">
        <v>3.82</v>
      </c>
      <c r="AA151" t="s">
        <v>465</v>
      </c>
      <c r="AF151">
        <v>37.85</v>
      </c>
      <c r="AG151" t="s">
        <v>501</v>
      </c>
      <c r="AH151" t="s">
        <v>505</v>
      </c>
      <c r="AI151">
        <v>38.3</v>
      </c>
      <c r="AJ151">
        <v>0.4499999999999957</v>
      </c>
      <c r="AK151" t="s">
        <v>467</v>
      </c>
      <c r="AM151">
        <v>35.44</v>
      </c>
      <c r="AN151" t="s">
        <v>457</v>
      </c>
      <c r="AO151" t="s">
        <v>533</v>
      </c>
      <c r="AP151">
        <v>35.1</v>
      </c>
      <c r="AQ151">
        <v>0.3399999999999963</v>
      </c>
      <c r="AR151" t="s">
        <v>467</v>
      </c>
      <c r="AU151" t="s">
        <v>565</v>
      </c>
      <c r="AV151" s="1" t="s">
        <v>716</v>
      </c>
      <c r="AW151" t="s">
        <v>808</v>
      </c>
      <c r="AX151" t="s">
        <v>890</v>
      </c>
    </row>
    <row r="152" spans="2:50">
      <c r="B152" t="s">
        <v>200</v>
      </c>
      <c r="E152" t="s">
        <v>397</v>
      </c>
      <c r="J152" t="s">
        <v>448</v>
      </c>
      <c r="M152">
        <v>39.49</v>
      </c>
      <c r="N152" t="s">
        <v>452</v>
      </c>
      <c r="O152" t="s">
        <v>462</v>
      </c>
      <c r="P152">
        <v>38.2</v>
      </c>
      <c r="Q152">
        <v>1.289999999999999</v>
      </c>
      <c r="R152" t="s">
        <v>465</v>
      </c>
      <c r="S152" t="s">
        <v>449</v>
      </c>
      <c r="V152">
        <v>39.49</v>
      </c>
      <c r="W152" t="s">
        <v>454</v>
      </c>
      <c r="X152" t="s">
        <v>470</v>
      </c>
      <c r="Y152">
        <v>36.3</v>
      </c>
      <c r="Z152">
        <v>3.190000000000005</v>
      </c>
      <c r="AA152" t="s">
        <v>466</v>
      </c>
      <c r="AB152" t="s">
        <v>474</v>
      </c>
      <c r="AD152" t="s">
        <v>485</v>
      </c>
      <c r="AF152">
        <v>36.82</v>
      </c>
      <c r="AG152" t="s">
        <v>496</v>
      </c>
      <c r="AH152" t="s">
        <v>505</v>
      </c>
      <c r="AI152">
        <v>38.3</v>
      </c>
      <c r="AJ152">
        <v>1.479999999999997</v>
      </c>
      <c r="AK152" t="s">
        <v>466</v>
      </c>
      <c r="AL152">
        <v>30</v>
      </c>
      <c r="AM152">
        <v>37.83</v>
      </c>
      <c r="AN152" t="s">
        <v>454</v>
      </c>
      <c r="AO152" t="s">
        <v>515</v>
      </c>
      <c r="AP152">
        <v>37.7</v>
      </c>
      <c r="AQ152">
        <v>0.1299999999999955</v>
      </c>
      <c r="AR152" t="s">
        <v>465</v>
      </c>
      <c r="AS152" t="s">
        <v>563</v>
      </c>
      <c r="AU152" t="s">
        <v>566</v>
      </c>
      <c r="AV152" s="1" t="s">
        <v>717</v>
      </c>
      <c r="AW152" t="s">
        <v>808</v>
      </c>
      <c r="AX152" t="s">
        <v>845</v>
      </c>
    </row>
    <row r="153" spans="2:50">
      <c r="B153" t="s">
        <v>201</v>
      </c>
      <c r="E153" t="s">
        <v>398</v>
      </c>
      <c r="J153" t="s">
        <v>448</v>
      </c>
      <c r="M153">
        <v>38.51</v>
      </c>
      <c r="N153" t="s">
        <v>454</v>
      </c>
      <c r="O153" t="s">
        <v>462</v>
      </c>
      <c r="P153">
        <v>38.2</v>
      </c>
      <c r="Q153">
        <v>0.3099999999999952</v>
      </c>
      <c r="R153" t="s">
        <v>465</v>
      </c>
      <c r="S153" t="s">
        <v>449</v>
      </c>
      <c r="V153">
        <v>36.93</v>
      </c>
      <c r="W153" t="s">
        <v>453</v>
      </c>
      <c r="X153" t="s">
        <v>470</v>
      </c>
      <c r="Y153">
        <v>36.3</v>
      </c>
      <c r="Z153">
        <v>0.6300000000000026</v>
      </c>
      <c r="AA153" t="s">
        <v>465</v>
      </c>
      <c r="AC153" t="s">
        <v>475</v>
      </c>
      <c r="AD153" t="s">
        <v>487</v>
      </c>
      <c r="AF153">
        <v>36.61</v>
      </c>
      <c r="AG153" t="s">
        <v>500</v>
      </c>
      <c r="AH153" t="s">
        <v>505</v>
      </c>
      <c r="AI153">
        <v>38.3</v>
      </c>
      <c r="AJ153">
        <v>1.689999999999998</v>
      </c>
      <c r="AK153" t="s">
        <v>467</v>
      </c>
      <c r="AL153">
        <v>30</v>
      </c>
      <c r="AM153">
        <v>35.56</v>
      </c>
      <c r="AN153" t="s">
        <v>457</v>
      </c>
      <c r="AO153" t="s">
        <v>509</v>
      </c>
      <c r="AP153">
        <v>35.1</v>
      </c>
      <c r="AQ153">
        <v>0.4600000000000009</v>
      </c>
      <c r="AR153" t="s">
        <v>466</v>
      </c>
      <c r="AS153" t="s">
        <v>564</v>
      </c>
      <c r="AU153" t="s">
        <v>565</v>
      </c>
      <c r="AV153" s="1" t="s">
        <v>718</v>
      </c>
      <c r="AW153" t="s">
        <v>808</v>
      </c>
      <c r="AX153" t="s">
        <v>891</v>
      </c>
    </row>
    <row r="154" spans="2:50">
      <c r="B154" t="s">
        <v>202</v>
      </c>
      <c r="J154" t="s">
        <v>449</v>
      </c>
      <c r="K154" t="s">
        <v>450</v>
      </c>
      <c r="L154">
        <v>100</v>
      </c>
      <c r="M154">
        <v>37</v>
      </c>
      <c r="N154" t="s">
        <v>453</v>
      </c>
      <c r="O154" t="s">
        <v>463</v>
      </c>
      <c r="P154">
        <v>37.1</v>
      </c>
      <c r="Q154">
        <v>0.1000000000000014</v>
      </c>
      <c r="R154" t="s">
        <v>465</v>
      </c>
      <c r="S154" t="s">
        <v>448</v>
      </c>
      <c r="T154" t="s">
        <v>468</v>
      </c>
      <c r="U154">
        <v>5</v>
      </c>
      <c r="V154">
        <v>37.01</v>
      </c>
      <c r="W154" t="s">
        <v>457</v>
      </c>
      <c r="X154" t="s">
        <v>470</v>
      </c>
      <c r="Y154">
        <v>36.3</v>
      </c>
      <c r="Z154">
        <v>0.7100000000000009</v>
      </c>
      <c r="AA154" t="s">
        <v>466</v>
      </c>
      <c r="AB154" t="s">
        <v>472</v>
      </c>
      <c r="AD154" t="s">
        <v>477</v>
      </c>
      <c r="AF154">
        <v>36.99</v>
      </c>
      <c r="AG154" t="s">
        <v>500</v>
      </c>
      <c r="AH154" t="s">
        <v>505</v>
      </c>
      <c r="AI154">
        <v>38.3</v>
      </c>
      <c r="AJ154">
        <v>1.309999999999995</v>
      </c>
      <c r="AK154" t="s">
        <v>465</v>
      </c>
      <c r="AL154">
        <v>30</v>
      </c>
      <c r="AM154">
        <v>37.23</v>
      </c>
      <c r="AN154" t="s">
        <v>454</v>
      </c>
      <c r="AO154" t="s">
        <v>519</v>
      </c>
      <c r="AP154">
        <v>37</v>
      </c>
      <c r="AQ154">
        <v>0.2299999999999969</v>
      </c>
      <c r="AR154" t="s">
        <v>465</v>
      </c>
      <c r="AS154" t="s">
        <v>448</v>
      </c>
      <c r="AT154">
        <v>5</v>
      </c>
      <c r="AU154" t="s">
        <v>565</v>
      </c>
      <c r="AV154" s="1" t="s">
        <v>719</v>
      </c>
      <c r="AW154" t="s">
        <v>808</v>
      </c>
    </row>
    <row r="155" spans="2:50">
      <c r="B155" t="s">
        <v>203</v>
      </c>
      <c r="J155" t="s">
        <v>448</v>
      </c>
      <c r="K155" t="s">
        <v>450</v>
      </c>
      <c r="L155">
        <v>100</v>
      </c>
      <c r="M155">
        <v>39.07</v>
      </c>
      <c r="N155" t="s">
        <v>455</v>
      </c>
      <c r="O155" t="s">
        <v>462</v>
      </c>
      <c r="P155">
        <v>38.2</v>
      </c>
      <c r="Q155">
        <v>0.8699999999999974</v>
      </c>
      <c r="R155" t="s">
        <v>466</v>
      </c>
      <c r="S155" t="s">
        <v>449</v>
      </c>
      <c r="T155" t="s">
        <v>468</v>
      </c>
      <c r="U155">
        <v>2</v>
      </c>
      <c r="V155">
        <v>38.47</v>
      </c>
      <c r="W155" t="s">
        <v>452</v>
      </c>
      <c r="X155" t="s">
        <v>470</v>
      </c>
      <c r="Y155">
        <v>36.3</v>
      </c>
      <c r="Z155">
        <v>2.170000000000002</v>
      </c>
      <c r="AA155" t="s">
        <v>466</v>
      </c>
      <c r="AB155" t="s">
        <v>472</v>
      </c>
      <c r="AD155" t="s">
        <v>478</v>
      </c>
      <c r="AF155">
        <v>38.97</v>
      </c>
      <c r="AG155" t="s">
        <v>501</v>
      </c>
      <c r="AH155" t="s">
        <v>497</v>
      </c>
      <c r="AI155">
        <v>38.3</v>
      </c>
      <c r="AJ155">
        <v>0.6700000000000017</v>
      </c>
      <c r="AK155" t="s">
        <v>465</v>
      </c>
      <c r="AL155">
        <v>25</v>
      </c>
      <c r="AM155">
        <v>37.16</v>
      </c>
      <c r="AN155" t="s">
        <v>456</v>
      </c>
      <c r="AO155" t="s">
        <v>511</v>
      </c>
      <c r="AP155">
        <v>37</v>
      </c>
      <c r="AQ155">
        <v>0.1599999999999966</v>
      </c>
      <c r="AR155" t="s">
        <v>465</v>
      </c>
      <c r="AS155" t="s">
        <v>449</v>
      </c>
      <c r="AT155">
        <v>3</v>
      </c>
      <c r="AU155" t="s">
        <v>565</v>
      </c>
      <c r="AV155" s="1" t="s">
        <v>720</v>
      </c>
      <c r="AW155" t="s">
        <v>808</v>
      </c>
    </row>
    <row r="156" spans="2:50">
      <c r="B156" t="s">
        <v>204</v>
      </c>
      <c r="E156" t="s">
        <v>325</v>
      </c>
      <c r="J156" t="s">
        <v>448</v>
      </c>
      <c r="K156" t="s">
        <v>450</v>
      </c>
      <c r="L156">
        <v>100</v>
      </c>
      <c r="M156">
        <v>39.25</v>
      </c>
      <c r="N156" t="s">
        <v>454</v>
      </c>
      <c r="O156" t="s">
        <v>462</v>
      </c>
      <c r="P156">
        <v>38.2</v>
      </c>
      <c r="Q156">
        <v>1.049999999999997</v>
      </c>
      <c r="R156" t="s">
        <v>465</v>
      </c>
      <c r="S156" t="s">
        <v>449</v>
      </c>
      <c r="T156" t="s">
        <v>450</v>
      </c>
      <c r="U156">
        <v>100</v>
      </c>
      <c r="V156">
        <v>36.52</v>
      </c>
      <c r="W156" t="s">
        <v>455</v>
      </c>
      <c r="X156" t="s">
        <v>470</v>
      </c>
      <c r="Y156">
        <v>36.3</v>
      </c>
      <c r="Z156">
        <v>0.220000000000006</v>
      </c>
      <c r="AA156" t="s">
        <v>465</v>
      </c>
      <c r="AB156" t="s">
        <v>474</v>
      </c>
      <c r="AD156" t="s">
        <v>485</v>
      </c>
      <c r="AF156">
        <v>38.91</v>
      </c>
      <c r="AG156" t="s">
        <v>455</v>
      </c>
      <c r="AH156" t="s">
        <v>497</v>
      </c>
      <c r="AI156">
        <v>38.3</v>
      </c>
      <c r="AJ156">
        <v>0.6099999999999994</v>
      </c>
      <c r="AK156" t="s">
        <v>466</v>
      </c>
      <c r="AM156">
        <v>34.79</v>
      </c>
      <c r="AN156" t="s">
        <v>455</v>
      </c>
      <c r="AO156" t="s">
        <v>510</v>
      </c>
      <c r="AP156">
        <v>35.1</v>
      </c>
      <c r="AQ156">
        <v>0.3100000000000023</v>
      </c>
      <c r="AR156" t="s">
        <v>467</v>
      </c>
      <c r="AS156" t="s">
        <v>563</v>
      </c>
      <c r="AU156" t="s">
        <v>565</v>
      </c>
      <c r="AV156" s="1" t="s">
        <v>721</v>
      </c>
      <c r="AW156" t="s">
        <v>808</v>
      </c>
      <c r="AX156" t="s">
        <v>892</v>
      </c>
    </row>
    <row r="157" spans="2:50">
      <c r="B157" t="s">
        <v>205</v>
      </c>
      <c r="J157" t="s">
        <v>448</v>
      </c>
      <c r="K157" t="s">
        <v>450</v>
      </c>
      <c r="L157">
        <v>100</v>
      </c>
      <c r="M157">
        <v>36.09</v>
      </c>
      <c r="N157" t="s">
        <v>455</v>
      </c>
      <c r="O157" t="s">
        <v>463</v>
      </c>
      <c r="P157">
        <v>37.1</v>
      </c>
      <c r="Q157">
        <v>1.009999999999998</v>
      </c>
      <c r="R157" t="s">
        <v>466</v>
      </c>
      <c r="S157" t="s">
        <v>449</v>
      </c>
      <c r="T157" t="s">
        <v>451</v>
      </c>
      <c r="U157">
        <v>90</v>
      </c>
      <c r="V157">
        <v>40.24</v>
      </c>
      <c r="W157" t="s">
        <v>456</v>
      </c>
      <c r="X157" t="s">
        <v>470</v>
      </c>
      <c r="Y157">
        <v>36.3</v>
      </c>
      <c r="Z157">
        <v>3.940000000000005</v>
      </c>
      <c r="AA157" t="s">
        <v>466</v>
      </c>
      <c r="AB157" t="s">
        <v>472</v>
      </c>
      <c r="AD157" t="s">
        <v>480</v>
      </c>
      <c r="AF157">
        <v>40.81</v>
      </c>
      <c r="AG157" t="s">
        <v>502</v>
      </c>
      <c r="AH157" t="s">
        <v>506</v>
      </c>
      <c r="AI157">
        <v>40.4</v>
      </c>
      <c r="AJ157">
        <v>0.4100000000000037</v>
      </c>
      <c r="AK157" t="s">
        <v>466</v>
      </c>
      <c r="AL157">
        <v>50</v>
      </c>
      <c r="AM157">
        <v>37.29</v>
      </c>
      <c r="AN157" t="s">
        <v>454</v>
      </c>
      <c r="AO157" t="s">
        <v>553</v>
      </c>
      <c r="AP157">
        <v>37</v>
      </c>
      <c r="AQ157">
        <v>0.2899999999999991</v>
      </c>
      <c r="AR157" t="s">
        <v>465</v>
      </c>
      <c r="AS157" t="s">
        <v>449</v>
      </c>
      <c r="AU157" t="s">
        <v>565</v>
      </c>
      <c r="AV157" s="1" t="s">
        <v>722</v>
      </c>
      <c r="AW157" t="s">
        <v>808</v>
      </c>
    </row>
    <row r="158" spans="2:50">
      <c r="B158" t="s">
        <v>206</v>
      </c>
      <c r="E158" t="s">
        <v>399</v>
      </c>
      <c r="J158" t="s">
        <v>448</v>
      </c>
      <c r="K158" t="s">
        <v>451</v>
      </c>
      <c r="L158">
        <v>85</v>
      </c>
      <c r="M158">
        <v>38.88</v>
      </c>
      <c r="N158" t="s">
        <v>452</v>
      </c>
      <c r="O158" t="s">
        <v>462</v>
      </c>
      <c r="P158">
        <v>38.2</v>
      </c>
      <c r="Q158">
        <v>0.6799999999999997</v>
      </c>
      <c r="R158" t="s">
        <v>465</v>
      </c>
      <c r="S158" t="s">
        <v>449</v>
      </c>
      <c r="T158" t="s">
        <v>451</v>
      </c>
      <c r="U158">
        <v>15</v>
      </c>
      <c r="V158">
        <v>38.56</v>
      </c>
      <c r="W158" t="s">
        <v>456</v>
      </c>
      <c r="X158" t="s">
        <v>470</v>
      </c>
      <c r="Y158">
        <v>36.3</v>
      </c>
      <c r="Z158">
        <v>2.260000000000005</v>
      </c>
      <c r="AA158" t="s">
        <v>466</v>
      </c>
      <c r="AB158" t="s">
        <v>472</v>
      </c>
      <c r="AD158" t="s">
        <v>478</v>
      </c>
      <c r="AF158">
        <v>36.56</v>
      </c>
      <c r="AG158" t="s">
        <v>500</v>
      </c>
      <c r="AH158" t="s">
        <v>505</v>
      </c>
      <c r="AI158">
        <v>38.3</v>
      </c>
      <c r="AJ158">
        <v>1.739999999999995</v>
      </c>
      <c r="AK158" t="s">
        <v>465</v>
      </c>
      <c r="AL158">
        <v>25</v>
      </c>
      <c r="AM158">
        <v>36.4</v>
      </c>
      <c r="AN158" t="s">
        <v>454</v>
      </c>
      <c r="AO158" t="s">
        <v>548</v>
      </c>
      <c r="AP158">
        <v>36.3</v>
      </c>
      <c r="AQ158">
        <v>0.1000000000000014</v>
      </c>
      <c r="AR158" t="s">
        <v>465</v>
      </c>
      <c r="AS158" t="s">
        <v>564</v>
      </c>
      <c r="AU158" t="s">
        <v>565</v>
      </c>
      <c r="AV158" s="1" t="s">
        <v>723</v>
      </c>
      <c r="AW158" t="s">
        <v>808</v>
      </c>
      <c r="AX158" t="s">
        <v>881</v>
      </c>
    </row>
    <row r="159" spans="2:50">
      <c r="B159" t="s">
        <v>207</v>
      </c>
      <c r="E159" t="s">
        <v>400</v>
      </c>
      <c r="J159" t="s">
        <v>448</v>
      </c>
      <c r="K159" t="s">
        <v>450</v>
      </c>
      <c r="L159">
        <v>100</v>
      </c>
      <c r="M159">
        <v>38.78</v>
      </c>
      <c r="N159" t="s">
        <v>454</v>
      </c>
      <c r="O159" t="s">
        <v>462</v>
      </c>
      <c r="P159">
        <v>38.2</v>
      </c>
      <c r="Q159">
        <v>0.5799999999999983</v>
      </c>
      <c r="R159" t="s">
        <v>465</v>
      </c>
      <c r="S159" t="s">
        <v>449</v>
      </c>
      <c r="T159" t="s">
        <v>468</v>
      </c>
      <c r="U159">
        <v>1</v>
      </c>
      <c r="V159">
        <v>39.42</v>
      </c>
      <c r="W159" t="s">
        <v>452</v>
      </c>
      <c r="X159" t="s">
        <v>470</v>
      </c>
      <c r="Y159">
        <v>36.3</v>
      </c>
      <c r="Z159">
        <v>3.120000000000005</v>
      </c>
      <c r="AA159" t="s">
        <v>466</v>
      </c>
      <c r="AF159">
        <v>40.65</v>
      </c>
      <c r="AG159" t="s">
        <v>456</v>
      </c>
      <c r="AH159" t="s">
        <v>506</v>
      </c>
      <c r="AI159">
        <v>40.4</v>
      </c>
      <c r="AJ159">
        <v>0.25</v>
      </c>
      <c r="AK159" t="s">
        <v>467</v>
      </c>
      <c r="AM159">
        <v>35.77</v>
      </c>
      <c r="AN159" t="s">
        <v>453</v>
      </c>
      <c r="AO159" t="s">
        <v>521</v>
      </c>
      <c r="AP159">
        <v>36.3</v>
      </c>
      <c r="AQ159">
        <v>0.529999999999994</v>
      </c>
      <c r="AR159" t="s">
        <v>467</v>
      </c>
      <c r="AU159" t="s">
        <v>565</v>
      </c>
      <c r="AV159" s="1" t="s">
        <v>724</v>
      </c>
      <c r="AW159" t="s">
        <v>808</v>
      </c>
      <c r="AX159" t="s">
        <v>858</v>
      </c>
    </row>
    <row r="160" spans="2:50">
      <c r="B160" t="s">
        <v>208</v>
      </c>
      <c r="E160" t="s">
        <v>401</v>
      </c>
      <c r="J160" t="s">
        <v>449</v>
      </c>
      <c r="M160">
        <v>39.69</v>
      </c>
      <c r="N160" t="s">
        <v>455</v>
      </c>
      <c r="O160" t="s">
        <v>462</v>
      </c>
      <c r="P160">
        <v>38.2</v>
      </c>
      <c r="Q160">
        <v>1.489999999999995</v>
      </c>
      <c r="R160" t="s">
        <v>465</v>
      </c>
      <c r="S160" t="s">
        <v>449</v>
      </c>
      <c r="V160">
        <v>39.59</v>
      </c>
      <c r="W160" t="s">
        <v>454</v>
      </c>
      <c r="X160" t="s">
        <v>470</v>
      </c>
      <c r="Y160">
        <v>36.3</v>
      </c>
      <c r="Z160">
        <v>3.290000000000006</v>
      </c>
      <c r="AA160" t="s">
        <v>466</v>
      </c>
      <c r="AB160" t="s">
        <v>472</v>
      </c>
      <c r="AD160" t="s">
        <v>484</v>
      </c>
      <c r="AF160">
        <v>39.8</v>
      </c>
      <c r="AG160" t="s">
        <v>456</v>
      </c>
      <c r="AH160" t="s">
        <v>497</v>
      </c>
      <c r="AI160">
        <v>40.4</v>
      </c>
      <c r="AJ160">
        <v>0.6000000000000014</v>
      </c>
      <c r="AK160" t="s">
        <v>466</v>
      </c>
      <c r="AL160">
        <v>50</v>
      </c>
      <c r="AM160">
        <v>37.46</v>
      </c>
      <c r="AN160" t="s">
        <v>456</v>
      </c>
      <c r="AO160" t="s">
        <v>554</v>
      </c>
      <c r="AP160">
        <v>37.7</v>
      </c>
      <c r="AQ160">
        <v>0.240000000000002</v>
      </c>
      <c r="AR160" t="s">
        <v>465</v>
      </c>
      <c r="AS160" t="s">
        <v>563</v>
      </c>
      <c r="AU160" t="s">
        <v>566</v>
      </c>
      <c r="AV160" s="1" t="s">
        <v>725</v>
      </c>
      <c r="AW160" t="s">
        <v>808</v>
      </c>
      <c r="AX160" t="s">
        <v>893</v>
      </c>
    </row>
    <row r="161" spans="2:50">
      <c r="B161" t="s">
        <v>209</v>
      </c>
      <c r="E161" t="s">
        <v>402</v>
      </c>
      <c r="J161" t="s">
        <v>449</v>
      </c>
      <c r="M161">
        <v>40.52</v>
      </c>
      <c r="N161" t="s">
        <v>454</v>
      </c>
      <c r="O161" t="s">
        <v>462</v>
      </c>
      <c r="P161">
        <v>38.2</v>
      </c>
      <c r="Q161">
        <v>2.32</v>
      </c>
      <c r="R161" t="s">
        <v>466</v>
      </c>
      <c r="S161" t="s">
        <v>449</v>
      </c>
      <c r="V161">
        <v>40.25</v>
      </c>
      <c r="W161" t="s">
        <v>452</v>
      </c>
      <c r="X161" t="s">
        <v>470</v>
      </c>
      <c r="Y161">
        <v>36.3</v>
      </c>
      <c r="Z161">
        <v>3.950000000000003</v>
      </c>
      <c r="AA161" t="s">
        <v>466</v>
      </c>
      <c r="AC161" t="s">
        <v>475</v>
      </c>
      <c r="AD161" t="s">
        <v>487</v>
      </c>
      <c r="AF161">
        <v>37.92</v>
      </c>
      <c r="AG161" t="s">
        <v>500</v>
      </c>
      <c r="AH161" t="s">
        <v>505</v>
      </c>
      <c r="AI161">
        <v>38.3</v>
      </c>
      <c r="AJ161">
        <v>0.3799999999999955</v>
      </c>
      <c r="AK161" t="s">
        <v>467</v>
      </c>
      <c r="AM161">
        <v>37.05</v>
      </c>
      <c r="AN161" t="s">
        <v>452</v>
      </c>
      <c r="AO161" t="s">
        <v>555</v>
      </c>
      <c r="AP161">
        <v>37</v>
      </c>
      <c r="AQ161">
        <v>0.04999999999999716</v>
      </c>
      <c r="AR161" t="s">
        <v>467</v>
      </c>
      <c r="AS161" t="s">
        <v>564</v>
      </c>
      <c r="AU161" t="s">
        <v>565</v>
      </c>
      <c r="AV161" s="1" t="s">
        <v>726</v>
      </c>
      <c r="AW161" t="s">
        <v>808</v>
      </c>
      <c r="AX161" t="s">
        <v>871</v>
      </c>
    </row>
    <row r="162" spans="2:50">
      <c r="B162" t="s">
        <v>210</v>
      </c>
      <c r="J162" t="s">
        <v>448</v>
      </c>
      <c r="K162" t="s">
        <v>450</v>
      </c>
      <c r="L162">
        <v>100</v>
      </c>
      <c r="M162">
        <v>40.07</v>
      </c>
      <c r="N162" t="s">
        <v>456</v>
      </c>
      <c r="O162" t="s">
        <v>462</v>
      </c>
      <c r="P162">
        <v>38.2</v>
      </c>
      <c r="Q162">
        <v>1.869999999999997</v>
      </c>
      <c r="R162" t="s">
        <v>465</v>
      </c>
      <c r="S162" t="s">
        <v>448</v>
      </c>
      <c r="T162" t="s">
        <v>468</v>
      </c>
      <c r="U162">
        <v>5</v>
      </c>
      <c r="V162">
        <v>36.96</v>
      </c>
      <c r="W162" t="s">
        <v>457</v>
      </c>
      <c r="X162" t="s">
        <v>470</v>
      </c>
      <c r="Y162">
        <v>36.3</v>
      </c>
      <c r="Z162">
        <v>0.6600000000000037</v>
      </c>
      <c r="AA162" t="s">
        <v>466</v>
      </c>
      <c r="AB162" t="s">
        <v>472</v>
      </c>
      <c r="AD162" t="s">
        <v>477</v>
      </c>
      <c r="AF162">
        <v>37.28</v>
      </c>
      <c r="AG162" t="s">
        <v>500</v>
      </c>
      <c r="AH162" t="s">
        <v>505</v>
      </c>
      <c r="AI162">
        <v>38.3</v>
      </c>
      <c r="AJ162">
        <v>1.019999999999996</v>
      </c>
      <c r="AK162" t="s">
        <v>465</v>
      </c>
      <c r="AM162">
        <v>37.16</v>
      </c>
      <c r="AN162" t="s">
        <v>452</v>
      </c>
      <c r="AO162" t="s">
        <v>511</v>
      </c>
      <c r="AP162">
        <v>37</v>
      </c>
      <c r="AQ162">
        <v>0.1599999999999966</v>
      </c>
      <c r="AR162" t="s">
        <v>467</v>
      </c>
      <c r="AS162" t="s">
        <v>448</v>
      </c>
      <c r="AT162">
        <v>5</v>
      </c>
      <c r="AU162" t="s">
        <v>565</v>
      </c>
      <c r="AV162" s="1" t="s">
        <v>727</v>
      </c>
      <c r="AW162" t="s">
        <v>808</v>
      </c>
    </row>
    <row r="163" spans="2:50">
      <c r="B163" t="s">
        <v>211</v>
      </c>
      <c r="J163" t="s">
        <v>448</v>
      </c>
      <c r="K163" t="s">
        <v>450</v>
      </c>
      <c r="L163">
        <v>100</v>
      </c>
      <c r="M163">
        <v>40.13</v>
      </c>
      <c r="N163" t="s">
        <v>456</v>
      </c>
      <c r="O163" t="s">
        <v>462</v>
      </c>
      <c r="P163">
        <v>38.2</v>
      </c>
      <c r="Q163">
        <v>1.93</v>
      </c>
      <c r="R163" t="s">
        <v>465</v>
      </c>
      <c r="S163" t="s">
        <v>449</v>
      </c>
      <c r="T163" t="s">
        <v>468</v>
      </c>
      <c r="U163">
        <v>2</v>
      </c>
      <c r="V163">
        <v>40.16</v>
      </c>
      <c r="W163" t="s">
        <v>452</v>
      </c>
      <c r="X163" t="s">
        <v>470</v>
      </c>
      <c r="Y163">
        <v>36.3</v>
      </c>
      <c r="Z163">
        <v>3.859999999999999</v>
      </c>
      <c r="AA163" t="s">
        <v>466</v>
      </c>
      <c r="AB163" t="s">
        <v>472</v>
      </c>
      <c r="AD163" t="s">
        <v>478</v>
      </c>
      <c r="AF163">
        <v>39.86</v>
      </c>
      <c r="AG163" t="s">
        <v>502</v>
      </c>
      <c r="AH163" t="s">
        <v>497</v>
      </c>
      <c r="AI163">
        <v>40.4</v>
      </c>
      <c r="AJ163">
        <v>0.5399999999999991</v>
      </c>
      <c r="AK163" t="s">
        <v>466</v>
      </c>
      <c r="AL163">
        <v>30</v>
      </c>
      <c r="AM163">
        <v>35.4</v>
      </c>
      <c r="AN163" t="s">
        <v>457</v>
      </c>
      <c r="AO163" t="s">
        <v>533</v>
      </c>
      <c r="AP163">
        <v>35.1</v>
      </c>
      <c r="AQ163">
        <v>0.2999999999999972</v>
      </c>
      <c r="AR163" t="s">
        <v>466</v>
      </c>
      <c r="AS163" t="s">
        <v>449</v>
      </c>
      <c r="AT163">
        <v>3</v>
      </c>
      <c r="AU163" t="s">
        <v>565</v>
      </c>
      <c r="AV163" s="1" t="s">
        <v>728</v>
      </c>
      <c r="AW163" t="s">
        <v>808</v>
      </c>
    </row>
    <row r="164" spans="2:50">
      <c r="B164" t="s">
        <v>212</v>
      </c>
      <c r="E164" t="s">
        <v>325</v>
      </c>
      <c r="J164" t="s">
        <v>448</v>
      </c>
      <c r="K164" t="s">
        <v>450</v>
      </c>
      <c r="L164">
        <v>100</v>
      </c>
      <c r="M164">
        <v>37.61</v>
      </c>
      <c r="N164" t="s">
        <v>455</v>
      </c>
      <c r="O164" t="s">
        <v>464</v>
      </c>
      <c r="P164">
        <v>37.1</v>
      </c>
      <c r="Q164">
        <v>0.509999999999998</v>
      </c>
      <c r="R164" t="s">
        <v>466</v>
      </c>
      <c r="S164" t="s">
        <v>449</v>
      </c>
      <c r="T164" t="s">
        <v>450</v>
      </c>
      <c r="U164">
        <v>100</v>
      </c>
      <c r="V164">
        <v>38.16</v>
      </c>
      <c r="W164" t="s">
        <v>455</v>
      </c>
      <c r="X164" t="s">
        <v>470</v>
      </c>
      <c r="Y164">
        <v>36.3</v>
      </c>
      <c r="Z164">
        <v>1.859999999999999</v>
      </c>
      <c r="AA164" t="s">
        <v>465</v>
      </c>
      <c r="AB164" t="s">
        <v>472</v>
      </c>
      <c r="AD164" t="s">
        <v>488</v>
      </c>
      <c r="AF164">
        <v>37.19</v>
      </c>
      <c r="AG164" t="s">
        <v>455</v>
      </c>
      <c r="AH164" t="s">
        <v>505</v>
      </c>
      <c r="AI164">
        <v>38.3</v>
      </c>
      <c r="AJ164">
        <v>1.109999999999999</v>
      </c>
      <c r="AK164" t="s">
        <v>465</v>
      </c>
      <c r="AL164">
        <v>30</v>
      </c>
      <c r="AM164">
        <v>35.93</v>
      </c>
      <c r="AN164" t="s">
        <v>457</v>
      </c>
      <c r="AO164" t="s">
        <v>522</v>
      </c>
      <c r="AP164">
        <v>36.3</v>
      </c>
      <c r="AQ164">
        <v>0.3699999999999974</v>
      </c>
      <c r="AR164" t="s">
        <v>466</v>
      </c>
      <c r="AS164" t="s">
        <v>563</v>
      </c>
      <c r="AU164" t="s">
        <v>565</v>
      </c>
      <c r="AV164" s="1" t="s">
        <v>729</v>
      </c>
      <c r="AW164" t="s">
        <v>808</v>
      </c>
      <c r="AX164" t="s">
        <v>894</v>
      </c>
    </row>
    <row r="165" spans="2:50">
      <c r="B165" t="s">
        <v>213</v>
      </c>
      <c r="J165" t="s">
        <v>449</v>
      </c>
      <c r="K165" t="s">
        <v>450</v>
      </c>
      <c r="L165">
        <v>100</v>
      </c>
      <c r="M165">
        <v>38.43</v>
      </c>
      <c r="N165" t="s">
        <v>456</v>
      </c>
      <c r="O165" t="s">
        <v>462</v>
      </c>
      <c r="P165">
        <v>38.2</v>
      </c>
      <c r="Q165">
        <v>0.2299999999999969</v>
      </c>
      <c r="R165" t="s">
        <v>466</v>
      </c>
      <c r="S165" t="s">
        <v>448</v>
      </c>
      <c r="T165" t="s">
        <v>451</v>
      </c>
      <c r="U165">
        <v>90</v>
      </c>
      <c r="V165">
        <v>39.17</v>
      </c>
      <c r="W165" t="s">
        <v>457</v>
      </c>
      <c r="X165" t="s">
        <v>470</v>
      </c>
      <c r="Y165">
        <v>36.3</v>
      </c>
      <c r="Z165">
        <v>2.870000000000005</v>
      </c>
      <c r="AA165" t="s">
        <v>466</v>
      </c>
      <c r="AB165" t="s">
        <v>472</v>
      </c>
      <c r="AD165" t="s">
        <v>480</v>
      </c>
      <c r="AF165">
        <v>39.57</v>
      </c>
      <c r="AG165" t="s">
        <v>456</v>
      </c>
      <c r="AH165" t="s">
        <v>497</v>
      </c>
      <c r="AI165">
        <v>40.4</v>
      </c>
      <c r="AJ165">
        <v>0.8299999999999983</v>
      </c>
      <c r="AK165" t="s">
        <v>466</v>
      </c>
      <c r="AL165">
        <v>20</v>
      </c>
      <c r="AM165">
        <v>35.41</v>
      </c>
      <c r="AN165" t="s">
        <v>453</v>
      </c>
      <c r="AO165" t="s">
        <v>533</v>
      </c>
      <c r="AP165">
        <v>35.1</v>
      </c>
      <c r="AQ165">
        <v>0.3099999999999952</v>
      </c>
      <c r="AR165" t="s">
        <v>466</v>
      </c>
      <c r="AS165" t="s">
        <v>449</v>
      </c>
      <c r="AU165" t="s">
        <v>565</v>
      </c>
      <c r="AV165" s="1" t="s">
        <v>730</v>
      </c>
      <c r="AW165" t="s">
        <v>808</v>
      </c>
    </row>
    <row r="166" spans="2:50">
      <c r="B166" t="s">
        <v>214</v>
      </c>
      <c r="E166" t="s">
        <v>403</v>
      </c>
      <c r="J166" t="s">
        <v>449</v>
      </c>
      <c r="K166" t="s">
        <v>451</v>
      </c>
      <c r="L166">
        <v>85</v>
      </c>
      <c r="M166">
        <v>40.71</v>
      </c>
      <c r="N166" t="s">
        <v>454</v>
      </c>
      <c r="O166" t="s">
        <v>462</v>
      </c>
      <c r="P166">
        <v>38.2</v>
      </c>
      <c r="Q166">
        <v>2.509999999999998</v>
      </c>
      <c r="R166" t="s">
        <v>466</v>
      </c>
      <c r="S166" t="s">
        <v>448</v>
      </c>
      <c r="T166" t="s">
        <v>451</v>
      </c>
      <c r="U166">
        <v>15</v>
      </c>
      <c r="V166">
        <v>40.88</v>
      </c>
      <c r="W166" t="s">
        <v>454</v>
      </c>
      <c r="X166" t="s">
        <v>470</v>
      </c>
      <c r="Y166">
        <v>36.3</v>
      </c>
      <c r="Z166">
        <v>4.580000000000005</v>
      </c>
      <c r="AA166" t="s">
        <v>465</v>
      </c>
      <c r="AB166" t="s">
        <v>472</v>
      </c>
      <c r="AD166" t="s">
        <v>486</v>
      </c>
      <c r="AF166">
        <v>39.22</v>
      </c>
      <c r="AG166" t="s">
        <v>456</v>
      </c>
      <c r="AH166" t="s">
        <v>497</v>
      </c>
      <c r="AI166">
        <v>38.3</v>
      </c>
      <c r="AJ166">
        <v>0.9200000000000017</v>
      </c>
      <c r="AK166" t="s">
        <v>466</v>
      </c>
      <c r="AL166">
        <v>50</v>
      </c>
      <c r="AM166">
        <v>34.63</v>
      </c>
      <c r="AN166" t="s">
        <v>455</v>
      </c>
      <c r="AO166" t="s">
        <v>510</v>
      </c>
      <c r="AP166">
        <v>35.1</v>
      </c>
      <c r="AQ166">
        <v>0.4699999999999989</v>
      </c>
      <c r="AR166" t="s">
        <v>466</v>
      </c>
      <c r="AS166" t="s">
        <v>564</v>
      </c>
      <c r="AU166" t="s">
        <v>565</v>
      </c>
      <c r="AV166" s="1" t="s">
        <v>731</v>
      </c>
      <c r="AW166" t="s">
        <v>808</v>
      </c>
      <c r="AX166" t="s">
        <v>895</v>
      </c>
    </row>
    <row r="167" spans="2:50">
      <c r="B167" t="s">
        <v>215</v>
      </c>
      <c r="E167" t="s">
        <v>404</v>
      </c>
      <c r="J167" t="s">
        <v>448</v>
      </c>
      <c r="K167" t="s">
        <v>450</v>
      </c>
      <c r="L167">
        <v>100</v>
      </c>
      <c r="M167">
        <v>37.92</v>
      </c>
      <c r="N167" t="s">
        <v>457</v>
      </c>
      <c r="O167" t="s">
        <v>464</v>
      </c>
      <c r="P167">
        <v>38.2</v>
      </c>
      <c r="Q167">
        <v>0.2800000000000011</v>
      </c>
      <c r="R167" t="s">
        <v>466</v>
      </c>
      <c r="S167" t="s">
        <v>448</v>
      </c>
      <c r="T167" t="s">
        <v>468</v>
      </c>
      <c r="U167">
        <v>1</v>
      </c>
      <c r="V167">
        <v>38.9</v>
      </c>
      <c r="W167" t="s">
        <v>456</v>
      </c>
      <c r="X167" t="s">
        <v>470</v>
      </c>
      <c r="Y167">
        <v>36.3</v>
      </c>
      <c r="Z167">
        <v>2.600000000000001</v>
      </c>
      <c r="AA167" t="s">
        <v>465</v>
      </c>
      <c r="AF167">
        <v>37.52</v>
      </c>
      <c r="AG167" t="s">
        <v>500</v>
      </c>
      <c r="AH167" t="s">
        <v>505</v>
      </c>
      <c r="AI167">
        <v>38.3</v>
      </c>
      <c r="AJ167">
        <v>0.779999999999994</v>
      </c>
      <c r="AK167" t="s">
        <v>467</v>
      </c>
      <c r="AM167">
        <v>37.32</v>
      </c>
      <c r="AN167" t="s">
        <v>454</v>
      </c>
      <c r="AO167" t="s">
        <v>529</v>
      </c>
      <c r="AP167">
        <v>37</v>
      </c>
      <c r="AQ167">
        <v>0.3200000000000003</v>
      </c>
      <c r="AR167" t="s">
        <v>467</v>
      </c>
      <c r="AU167" t="s">
        <v>565</v>
      </c>
      <c r="AV167" s="1" t="s">
        <v>732</v>
      </c>
      <c r="AW167" t="s">
        <v>808</v>
      </c>
      <c r="AX167" t="s">
        <v>896</v>
      </c>
    </row>
    <row r="168" spans="2:50">
      <c r="B168" t="s">
        <v>216</v>
      </c>
      <c r="E168" t="s">
        <v>405</v>
      </c>
      <c r="J168" t="s">
        <v>448</v>
      </c>
      <c r="M168">
        <v>36.17</v>
      </c>
      <c r="N168" t="s">
        <v>457</v>
      </c>
      <c r="O168" t="s">
        <v>463</v>
      </c>
      <c r="P168">
        <v>37.1</v>
      </c>
      <c r="Q168">
        <v>0.9299999999999997</v>
      </c>
      <c r="R168" t="s">
        <v>466</v>
      </c>
      <c r="S168" t="s">
        <v>449</v>
      </c>
      <c r="V168">
        <v>40.31</v>
      </c>
      <c r="W168" t="s">
        <v>452</v>
      </c>
      <c r="X168" t="s">
        <v>470</v>
      </c>
      <c r="Y168">
        <v>36.3</v>
      </c>
      <c r="Z168">
        <v>4.010000000000005</v>
      </c>
      <c r="AA168" t="s">
        <v>466</v>
      </c>
      <c r="AB168" t="s">
        <v>474</v>
      </c>
      <c r="AD168" t="s">
        <v>485</v>
      </c>
      <c r="AF168">
        <v>40.96</v>
      </c>
      <c r="AG168" t="s">
        <v>502</v>
      </c>
      <c r="AH168" t="s">
        <v>506</v>
      </c>
      <c r="AI168">
        <v>40.4</v>
      </c>
      <c r="AJ168">
        <v>0.5600000000000023</v>
      </c>
      <c r="AK168" t="s">
        <v>465</v>
      </c>
      <c r="AL168">
        <v>20</v>
      </c>
      <c r="AM168">
        <v>37.06</v>
      </c>
      <c r="AN168" t="s">
        <v>454</v>
      </c>
      <c r="AO168" t="s">
        <v>541</v>
      </c>
      <c r="AP168">
        <v>37</v>
      </c>
      <c r="AQ168">
        <v>0.06000000000000227</v>
      </c>
      <c r="AR168" t="s">
        <v>465</v>
      </c>
      <c r="AS168" t="s">
        <v>563</v>
      </c>
      <c r="AU168" t="s">
        <v>566</v>
      </c>
      <c r="AV168" s="1" t="s">
        <v>733</v>
      </c>
      <c r="AW168" t="s">
        <v>808</v>
      </c>
      <c r="AX168" t="s">
        <v>897</v>
      </c>
    </row>
    <row r="169" spans="2:50">
      <c r="B169" t="s">
        <v>217</v>
      </c>
      <c r="E169" t="s">
        <v>406</v>
      </c>
      <c r="J169" t="s">
        <v>448</v>
      </c>
      <c r="M169">
        <v>39.2</v>
      </c>
      <c r="N169" t="s">
        <v>457</v>
      </c>
      <c r="O169" t="s">
        <v>462</v>
      </c>
      <c r="P169">
        <v>38.2</v>
      </c>
      <c r="Q169">
        <v>1</v>
      </c>
      <c r="R169" t="s">
        <v>466</v>
      </c>
      <c r="S169" t="s">
        <v>449</v>
      </c>
      <c r="V169">
        <v>39.64</v>
      </c>
      <c r="W169" t="s">
        <v>457</v>
      </c>
      <c r="X169" t="s">
        <v>470</v>
      </c>
      <c r="Y169">
        <v>36.3</v>
      </c>
      <c r="Z169">
        <v>3.340000000000003</v>
      </c>
      <c r="AA169" t="s">
        <v>465</v>
      </c>
      <c r="AC169" t="s">
        <v>475</v>
      </c>
      <c r="AD169" t="s">
        <v>487</v>
      </c>
      <c r="AF169">
        <v>38.38</v>
      </c>
      <c r="AG169" t="s">
        <v>456</v>
      </c>
      <c r="AH169" t="s">
        <v>497</v>
      </c>
      <c r="AI169">
        <v>38.3</v>
      </c>
      <c r="AJ169">
        <v>0.0800000000000054</v>
      </c>
      <c r="AK169" t="s">
        <v>467</v>
      </c>
      <c r="AL169">
        <v>50</v>
      </c>
      <c r="AM169">
        <v>37.6</v>
      </c>
      <c r="AN169" t="s">
        <v>452</v>
      </c>
      <c r="AO169" t="s">
        <v>556</v>
      </c>
      <c r="AP169">
        <v>37.7</v>
      </c>
      <c r="AQ169">
        <v>0.1000000000000014</v>
      </c>
      <c r="AR169" t="s">
        <v>465</v>
      </c>
      <c r="AS169" t="s">
        <v>564</v>
      </c>
      <c r="AU169" t="s">
        <v>565</v>
      </c>
      <c r="AV169" s="1" t="s">
        <v>734</v>
      </c>
      <c r="AW169" t="s">
        <v>808</v>
      </c>
      <c r="AX169" t="s">
        <v>898</v>
      </c>
    </row>
    <row r="170" spans="2:50">
      <c r="B170" t="s">
        <v>218</v>
      </c>
      <c r="J170" t="s">
        <v>448</v>
      </c>
      <c r="K170" t="s">
        <v>450</v>
      </c>
      <c r="L170">
        <v>100</v>
      </c>
      <c r="M170">
        <v>37.86</v>
      </c>
      <c r="N170" t="s">
        <v>453</v>
      </c>
      <c r="O170" t="s">
        <v>464</v>
      </c>
      <c r="P170">
        <v>38.2</v>
      </c>
      <c r="Q170">
        <v>0.3400000000000034</v>
      </c>
      <c r="R170" t="s">
        <v>466</v>
      </c>
      <c r="S170" t="s">
        <v>448</v>
      </c>
      <c r="T170" t="s">
        <v>468</v>
      </c>
      <c r="U170">
        <v>5</v>
      </c>
      <c r="V170">
        <v>40.13</v>
      </c>
      <c r="W170" t="s">
        <v>456</v>
      </c>
      <c r="X170" t="s">
        <v>470</v>
      </c>
      <c r="Y170">
        <v>36.3</v>
      </c>
      <c r="Z170">
        <v>3.830000000000005</v>
      </c>
      <c r="AA170" t="s">
        <v>465</v>
      </c>
      <c r="AB170" t="s">
        <v>472</v>
      </c>
      <c r="AD170" t="s">
        <v>477</v>
      </c>
      <c r="AF170">
        <v>37.59</v>
      </c>
      <c r="AG170" t="s">
        <v>501</v>
      </c>
      <c r="AH170" t="s">
        <v>505</v>
      </c>
      <c r="AI170">
        <v>38.3</v>
      </c>
      <c r="AJ170">
        <v>0.7099999999999937</v>
      </c>
      <c r="AK170" t="s">
        <v>465</v>
      </c>
      <c r="AL170">
        <v>30</v>
      </c>
      <c r="AM170">
        <v>35.42</v>
      </c>
      <c r="AN170" t="s">
        <v>457</v>
      </c>
      <c r="AO170" t="s">
        <v>533</v>
      </c>
      <c r="AP170">
        <v>35.1</v>
      </c>
      <c r="AQ170">
        <v>0.3200000000000003</v>
      </c>
      <c r="AR170" t="s">
        <v>466</v>
      </c>
      <c r="AS170" t="s">
        <v>448</v>
      </c>
      <c r="AT170">
        <v>5</v>
      </c>
      <c r="AU170" t="s">
        <v>565</v>
      </c>
      <c r="AV170" s="1" t="s">
        <v>735</v>
      </c>
      <c r="AW170" t="s">
        <v>808</v>
      </c>
    </row>
    <row r="171" spans="2:50">
      <c r="B171" t="s">
        <v>219</v>
      </c>
      <c r="J171" t="s">
        <v>449</v>
      </c>
      <c r="K171" t="s">
        <v>450</v>
      </c>
      <c r="L171">
        <v>100</v>
      </c>
      <c r="M171">
        <v>39.42</v>
      </c>
      <c r="N171" t="s">
        <v>455</v>
      </c>
      <c r="O171" t="s">
        <v>462</v>
      </c>
      <c r="P171">
        <v>38.2</v>
      </c>
      <c r="Q171">
        <v>1.219999999999999</v>
      </c>
      <c r="R171" t="s">
        <v>465</v>
      </c>
      <c r="S171" t="s">
        <v>449</v>
      </c>
      <c r="T171" t="s">
        <v>468</v>
      </c>
      <c r="U171">
        <v>2</v>
      </c>
      <c r="V171">
        <v>40.6</v>
      </c>
      <c r="W171" t="s">
        <v>452</v>
      </c>
      <c r="X171" t="s">
        <v>470</v>
      </c>
      <c r="Y171">
        <v>36.3</v>
      </c>
      <c r="Z171">
        <v>4.300000000000004</v>
      </c>
      <c r="AA171" t="s">
        <v>466</v>
      </c>
      <c r="AB171" t="s">
        <v>472</v>
      </c>
      <c r="AD171" t="s">
        <v>478</v>
      </c>
      <c r="AF171">
        <v>38.08</v>
      </c>
      <c r="AG171" t="s">
        <v>496</v>
      </c>
      <c r="AH171" t="s">
        <v>505</v>
      </c>
      <c r="AI171">
        <v>38.3</v>
      </c>
      <c r="AJ171">
        <v>0.2199999999999989</v>
      </c>
      <c r="AK171" t="s">
        <v>465</v>
      </c>
      <c r="AL171">
        <v>4</v>
      </c>
      <c r="AM171">
        <v>36.7</v>
      </c>
      <c r="AN171" t="s">
        <v>452</v>
      </c>
      <c r="AO171" t="s">
        <v>528</v>
      </c>
      <c r="AP171">
        <v>37</v>
      </c>
      <c r="AQ171">
        <v>0.2999999999999972</v>
      </c>
      <c r="AR171" t="s">
        <v>466</v>
      </c>
      <c r="AS171" t="s">
        <v>449</v>
      </c>
      <c r="AT171">
        <v>3</v>
      </c>
      <c r="AU171" t="s">
        <v>565</v>
      </c>
      <c r="AV171" s="1" t="s">
        <v>736</v>
      </c>
      <c r="AW171" t="s">
        <v>808</v>
      </c>
    </row>
    <row r="172" spans="2:50">
      <c r="B172" t="s">
        <v>220</v>
      </c>
      <c r="E172" t="s">
        <v>325</v>
      </c>
      <c r="J172" t="s">
        <v>448</v>
      </c>
      <c r="K172" t="s">
        <v>450</v>
      </c>
      <c r="L172">
        <v>100</v>
      </c>
      <c r="M172">
        <v>37.5</v>
      </c>
      <c r="N172" t="s">
        <v>453</v>
      </c>
      <c r="O172" t="s">
        <v>464</v>
      </c>
      <c r="P172">
        <v>37.1</v>
      </c>
      <c r="Q172">
        <v>0.3999999999999986</v>
      </c>
      <c r="R172" t="s">
        <v>466</v>
      </c>
      <c r="S172" t="s">
        <v>449</v>
      </c>
      <c r="T172" t="s">
        <v>450</v>
      </c>
      <c r="U172">
        <v>100</v>
      </c>
      <c r="V172">
        <v>39.62</v>
      </c>
      <c r="W172" t="s">
        <v>454</v>
      </c>
      <c r="X172" t="s">
        <v>470</v>
      </c>
      <c r="Y172">
        <v>36.3</v>
      </c>
      <c r="Z172">
        <v>3.32</v>
      </c>
      <c r="AA172" t="s">
        <v>466</v>
      </c>
      <c r="AB172" t="s">
        <v>472</v>
      </c>
      <c r="AD172" t="s">
        <v>478</v>
      </c>
      <c r="AF172">
        <v>39.96</v>
      </c>
      <c r="AG172" t="s">
        <v>502</v>
      </c>
      <c r="AH172" t="s">
        <v>497</v>
      </c>
      <c r="AI172">
        <v>40.4</v>
      </c>
      <c r="AJ172">
        <v>0.4399999999999977</v>
      </c>
      <c r="AK172" t="s">
        <v>466</v>
      </c>
      <c r="AL172">
        <v>20</v>
      </c>
      <c r="AM172">
        <v>35.87</v>
      </c>
      <c r="AN172" t="s">
        <v>457</v>
      </c>
      <c r="AO172" t="s">
        <v>522</v>
      </c>
      <c r="AP172">
        <v>36.3</v>
      </c>
      <c r="AQ172">
        <v>0.4299999999999997</v>
      </c>
      <c r="AR172" t="s">
        <v>466</v>
      </c>
      <c r="AS172" t="s">
        <v>563</v>
      </c>
      <c r="AU172" t="s">
        <v>565</v>
      </c>
      <c r="AV172" s="1" t="s">
        <v>737</v>
      </c>
      <c r="AW172" t="s">
        <v>808</v>
      </c>
      <c r="AX172" t="s">
        <v>899</v>
      </c>
    </row>
    <row r="173" spans="2:50">
      <c r="B173" t="s">
        <v>221</v>
      </c>
      <c r="J173" t="s">
        <v>449</v>
      </c>
      <c r="K173" t="s">
        <v>450</v>
      </c>
      <c r="L173">
        <v>100</v>
      </c>
      <c r="M173">
        <v>39.59</v>
      </c>
      <c r="N173" t="s">
        <v>455</v>
      </c>
      <c r="O173" t="s">
        <v>462</v>
      </c>
      <c r="P173">
        <v>38.2</v>
      </c>
      <c r="Q173">
        <v>1.390000000000001</v>
      </c>
      <c r="R173" t="s">
        <v>465</v>
      </c>
      <c r="S173" t="s">
        <v>448</v>
      </c>
      <c r="T173" t="s">
        <v>451</v>
      </c>
      <c r="U173">
        <v>90</v>
      </c>
      <c r="V173">
        <v>36.33</v>
      </c>
      <c r="W173" t="s">
        <v>455</v>
      </c>
      <c r="X173" t="s">
        <v>470</v>
      </c>
      <c r="Y173">
        <v>36.3</v>
      </c>
      <c r="Z173">
        <v>0.03000000000000114</v>
      </c>
      <c r="AA173" t="s">
        <v>466</v>
      </c>
      <c r="AB173" t="s">
        <v>472</v>
      </c>
      <c r="AD173" t="s">
        <v>480</v>
      </c>
      <c r="AF173">
        <v>38.94</v>
      </c>
      <c r="AG173" t="s">
        <v>502</v>
      </c>
      <c r="AH173" t="s">
        <v>497</v>
      </c>
      <c r="AI173">
        <v>38.3</v>
      </c>
      <c r="AJ173">
        <v>0.6400000000000006</v>
      </c>
      <c r="AK173" t="s">
        <v>466</v>
      </c>
      <c r="AM173">
        <v>37.16</v>
      </c>
      <c r="AN173" t="s">
        <v>454</v>
      </c>
      <c r="AO173" t="s">
        <v>511</v>
      </c>
      <c r="AP173">
        <v>37</v>
      </c>
      <c r="AQ173">
        <v>0.1599999999999966</v>
      </c>
      <c r="AR173" t="s">
        <v>467</v>
      </c>
      <c r="AS173" t="s">
        <v>449</v>
      </c>
      <c r="AU173" t="s">
        <v>565</v>
      </c>
      <c r="AV173" s="1" t="s">
        <v>738</v>
      </c>
      <c r="AW173" t="s">
        <v>808</v>
      </c>
    </row>
    <row r="174" spans="2:50">
      <c r="B174" t="s">
        <v>222</v>
      </c>
      <c r="E174" t="s">
        <v>407</v>
      </c>
      <c r="J174" t="s">
        <v>449</v>
      </c>
      <c r="K174" t="s">
        <v>451</v>
      </c>
      <c r="L174">
        <v>85</v>
      </c>
      <c r="M174">
        <v>36.91</v>
      </c>
      <c r="N174" t="s">
        <v>455</v>
      </c>
      <c r="O174" t="s">
        <v>463</v>
      </c>
      <c r="P174">
        <v>37.1</v>
      </c>
      <c r="Q174">
        <v>0.1900000000000048</v>
      </c>
      <c r="R174" t="s">
        <v>465</v>
      </c>
      <c r="S174" t="s">
        <v>449</v>
      </c>
      <c r="T174" t="s">
        <v>451</v>
      </c>
      <c r="U174">
        <v>15</v>
      </c>
      <c r="V174">
        <v>39.28</v>
      </c>
      <c r="W174" t="s">
        <v>457</v>
      </c>
      <c r="X174" t="s">
        <v>470</v>
      </c>
      <c r="Y174">
        <v>36.3</v>
      </c>
      <c r="Z174">
        <v>2.980000000000004</v>
      </c>
      <c r="AA174" t="s">
        <v>465</v>
      </c>
      <c r="AB174" t="s">
        <v>472</v>
      </c>
      <c r="AD174" t="s">
        <v>478</v>
      </c>
      <c r="AF174">
        <v>39.4</v>
      </c>
      <c r="AG174" t="s">
        <v>500</v>
      </c>
      <c r="AH174" t="s">
        <v>497</v>
      </c>
      <c r="AI174">
        <v>40.4</v>
      </c>
      <c r="AJ174">
        <v>1</v>
      </c>
      <c r="AK174" t="s">
        <v>465</v>
      </c>
      <c r="AM174">
        <v>35.15</v>
      </c>
      <c r="AN174" t="s">
        <v>457</v>
      </c>
      <c r="AO174" t="s">
        <v>518</v>
      </c>
      <c r="AP174">
        <v>35.1</v>
      </c>
      <c r="AQ174">
        <v>0.04999999999999716</v>
      </c>
      <c r="AR174" t="s">
        <v>467</v>
      </c>
      <c r="AS174" t="s">
        <v>564</v>
      </c>
      <c r="AU174" t="s">
        <v>565</v>
      </c>
      <c r="AV174" s="1" t="s">
        <v>739</v>
      </c>
      <c r="AW174" t="s">
        <v>808</v>
      </c>
      <c r="AX174" t="s">
        <v>900</v>
      </c>
    </row>
    <row r="175" spans="2:50">
      <c r="B175" t="s">
        <v>223</v>
      </c>
      <c r="E175" t="s">
        <v>408</v>
      </c>
      <c r="J175" t="s">
        <v>449</v>
      </c>
      <c r="K175" t="s">
        <v>450</v>
      </c>
      <c r="L175">
        <v>100</v>
      </c>
      <c r="M175">
        <v>39.63</v>
      </c>
      <c r="N175" t="s">
        <v>456</v>
      </c>
      <c r="O175" t="s">
        <v>462</v>
      </c>
      <c r="P175">
        <v>38.2</v>
      </c>
      <c r="Q175">
        <v>1.43</v>
      </c>
      <c r="R175" t="s">
        <v>466</v>
      </c>
      <c r="S175" t="s">
        <v>449</v>
      </c>
      <c r="T175" t="s">
        <v>468</v>
      </c>
      <c r="U175">
        <v>1</v>
      </c>
      <c r="V175">
        <v>39.3</v>
      </c>
      <c r="W175" t="s">
        <v>455</v>
      </c>
      <c r="X175" t="s">
        <v>470</v>
      </c>
      <c r="Y175">
        <v>36.3</v>
      </c>
      <c r="Z175">
        <v>3</v>
      </c>
      <c r="AA175" t="s">
        <v>465</v>
      </c>
      <c r="AF175">
        <v>39.28</v>
      </c>
      <c r="AG175" t="s">
        <v>496</v>
      </c>
      <c r="AH175" t="s">
        <v>497</v>
      </c>
      <c r="AI175">
        <v>38.3</v>
      </c>
      <c r="AJ175">
        <v>0.980000000000004</v>
      </c>
      <c r="AK175" t="s">
        <v>467</v>
      </c>
      <c r="AM175">
        <v>36.67</v>
      </c>
      <c r="AN175" t="s">
        <v>456</v>
      </c>
      <c r="AO175" t="s">
        <v>557</v>
      </c>
      <c r="AP175">
        <v>37</v>
      </c>
      <c r="AQ175">
        <v>0.3299999999999983</v>
      </c>
      <c r="AR175" t="s">
        <v>467</v>
      </c>
      <c r="AU175" t="s">
        <v>565</v>
      </c>
      <c r="AV175" s="1" t="s">
        <v>740</v>
      </c>
      <c r="AW175" t="s">
        <v>808</v>
      </c>
      <c r="AX175" t="s">
        <v>901</v>
      </c>
    </row>
    <row r="176" spans="2:50">
      <c r="B176" t="s">
        <v>224</v>
      </c>
      <c r="E176" t="s">
        <v>409</v>
      </c>
      <c r="J176" t="s">
        <v>448</v>
      </c>
      <c r="M176">
        <v>38.16</v>
      </c>
      <c r="N176" t="s">
        <v>455</v>
      </c>
      <c r="O176" t="s">
        <v>464</v>
      </c>
      <c r="P176">
        <v>38.2</v>
      </c>
      <c r="Q176">
        <v>0.04000000000000625</v>
      </c>
      <c r="R176" t="s">
        <v>466</v>
      </c>
      <c r="S176" t="s">
        <v>449</v>
      </c>
      <c r="V176">
        <v>38.39</v>
      </c>
      <c r="W176" t="s">
        <v>454</v>
      </c>
      <c r="X176" t="s">
        <v>470</v>
      </c>
      <c r="Y176">
        <v>36.3</v>
      </c>
      <c r="Z176">
        <v>2.090000000000003</v>
      </c>
      <c r="AA176" t="s">
        <v>466</v>
      </c>
      <c r="AB176" t="s">
        <v>472</v>
      </c>
      <c r="AD176" t="s">
        <v>484</v>
      </c>
      <c r="AF176">
        <v>37.19</v>
      </c>
      <c r="AG176" t="s">
        <v>499</v>
      </c>
      <c r="AH176" t="s">
        <v>505</v>
      </c>
      <c r="AI176">
        <v>38.3</v>
      </c>
      <c r="AJ176">
        <v>1.109999999999999</v>
      </c>
      <c r="AK176" t="s">
        <v>465</v>
      </c>
      <c r="AL176">
        <v>20</v>
      </c>
      <c r="AM176">
        <v>35.72</v>
      </c>
      <c r="AN176" t="s">
        <v>453</v>
      </c>
      <c r="AO176" t="s">
        <v>521</v>
      </c>
      <c r="AP176">
        <v>36.3</v>
      </c>
      <c r="AQ176">
        <v>0.5799999999999983</v>
      </c>
      <c r="AR176" t="s">
        <v>466</v>
      </c>
      <c r="AS176" t="s">
        <v>563</v>
      </c>
      <c r="AU176" t="s">
        <v>566</v>
      </c>
      <c r="AV176" s="1" t="s">
        <v>741</v>
      </c>
      <c r="AW176" t="s">
        <v>808</v>
      </c>
      <c r="AX176" t="s">
        <v>902</v>
      </c>
    </row>
    <row r="177" spans="2:50">
      <c r="B177" t="s">
        <v>225</v>
      </c>
      <c r="E177" t="s">
        <v>410</v>
      </c>
      <c r="J177" t="s">
        <v>449</v>
      </c>
      <c r="M177">
        <v>38.41</v>
      </c>
      <c r="N177" t="s">
        <v>453</v>
      </c>
      <c r="O177" t="s">
        <v>462</v>
      </c>
      <c r="P177">
        <v>38.2</v>
      </c>
      <c r="Q177">
        <v>0.2099999999999937</v>
      </c>
      <c r="R177" t="s">
        <v>465</v>
      </c>
      <c r="S177" t="s">
        <v>449</v>
      </c>
      <c r="V177">
        <v>38.38</v>
      </c>
      <c r="W177" t="s">
        <v>452</v>
      </c>
      <c r="X177" t="s">
        <v>470</v>
      </c>
      <c r="Y177">
        <v>36.3</v>
      </c>
      <c r="Z177">
        <v>2.080000000000005</v>
      </c>
      <c r="AA177" t="s">
        <v>466</v>
      </c>
      <c r="AB177" t="s">
        <v>472</v>
      </c>
      <c r="AD177" t="s">
        <v>484</v>
      </c>
      <c r="AF177">
        <v>36.92</v>
      </c>
      <c r="AG177" t="s">
        <v>496</v>
      </c>
      <c r="AH177" t="s">
        <v>505</v>
      </c>
      <c r="AI177">
        <v>38.3</v>
      </c>
      <c r="AJ177">
        <v>1.379999999999995</v>
      </c>
      <c r="AK177" t="s">
        <v>465</v>
      </c>
      <c r="AL177">
        <v>20</v>
      </c>
      <c r="AM177">
        <v>34.76</v>
      </c>
      <c r="AN177" t="s">
        <v>457</v>
      </c>
      <c r="AO177" t="s">
        <v>510</v>
      </c>
      <c r="AP177">
        <v>35.1</v>
      </c>
      <c r="AQ177">
        <v>0.3400000000000034</v>
      </c>
      <c r="AR177" t="s">
        <v>466</v>
      </c>
      <c r="AS177" t="s">
        <v>564</v>
      </c>
      <c r="AU177" t="s">
        <v>565</v>
      </c>
      <c r="AV177" s="1" t="s">
        <v>742</v>
      </c>
      <c r="AW177" t="s">
        <v>808</v>
      </c>
      <c r="AX177" t="s">
        <v>903</v>
      </c>
    </row>
    <row r="178" spans="2:50">
      <c r="B178" t="s">
        <v>226</v>
      </c>
      <c r="J178" t="s">
        <v>448</v>
      </c>
      <c r="K178" t="s">
        <v>450</v>
      </c>
      <c r="L178">
        <v>100</v>
      </c>
      <c r="M178">
        <v>36.32</v>
      </c>
      <c r="N178" t="s">
        <v>457</v>
      </c>
      <c r="O178" t="s">
        <v>463</v>
      </c>
      <c r="P178">
        <v>37.1</v>
      </c>
      <c r="Q178">
        <v>0.7800000000000011</v>
      </c>
      <c r="R178" t="s">
        <v>466</v>
      </c>
      <c r="S178" t="s">
        <v>448</v>
      </c>
      <c r="T178" t="s">
        <v>468</v>
      </c>
      <c r="U178">
        <v>5</v>
      </c>
      <c r="V178">
        <v>39.07</v>
      </c>
      <c r="W178" t="s">
        <v>457</v>
      </c>
      <c r="X178" t="s">
        <v>470</v>
      </c>
      <c r="Y178">
        <v>36.3</v>
      </c>
      <c r="Z178">
        <v>2.770000000000003</v>
      </c>
      <c r="AA178" t="s">
        <v>466</v>
      </c>
      <c r="AB178" t="s">
        <v>472</v>
      </c>
      <c r="AD178" t="s">
        <v>477</v>
      </c>
      <c r="AF178">
        <v>37.01</v>
      </c>
      <c r="AG178" t="s">
        <v>499</v>
      </c>
      <c r="AH178" t="s">
        <v>505</v>
      </c>
      <c r="AI178">
        <v>38.3</v>
      </c>
      <c r="AJ178">
        <v>1.289999999999999</v>
      </c>
      <c r="AK178" t="s">
        <v>465</v>
      </c>
      <c r="AL178">
        <v>50</v>
      </c>
      <c r="AM178">
        <v>35.46</v>
      </c>
      <c r="AN178" t="s">
        <v>455</v>
      </c>
      <c r="AO178" t="s">
        <v>517</v>
      </c>
      <c r="AP178">
        <v>35.1</v>
      </c>
      <c r="AQ178">
        <v>0.3599999999999994</v>
      </c>
      <c r="AR178" t="s">
        <v>466</v>
      </c>
      <c r="AS178" t="s">
        <v>448</v>
      </c>
      <c r="AT178">
        <v>5</v>
      </c>
      <c r="AU178" t="s">
        <v>565</v>
      </c>
      <c r="AV178" s="1" t="s">
        <v>743</v>
      </c>
      <c r="AW178" t="s">
        <v>808</v>
      </c>
    </row>
    <row r="179" spans="2:50">
      <c r="B179" t="s">
        <v>227</v>
      </c>
      <c r="J179" t="s">
        <v>449</v>
      </c>
      <c r="K179" t="s">
        <v>450</v>
      </c>
      <c r="L179">
        <v>100</v>
      </c>
      <c r="M179">
        <v>38.03</v>
      </c>
      <c r="N179" t="s">
        <v>456</v>
      </c>
      <c r="O179" t="s">
        <v>464</v>
      </c>
      <c r="P179">
        <v>38.2</v>
      </c>
      <c r="Q179">
        <v>0.1700000000000017</v>
      </c>
      <c r="R179" t="s">
        <v>466</v>
      </c>
      <c r="S179" t="s">
        <v>449</v>
      </c>
      <c r="T179" t="s">
        <v>468</v>
      </c>
      <c r="U179">
        <v>2</v>
      </c>
      <c r="V179">
        <v>39.43</v>
      </c>
      <c r="W179" t="s">
        <v>455</v>
      </c>
      <c r="X179" t="s">
        <v>470</v>
      </c>
      <c r="Y179">
        <v>36.3</v>
      </c>
      <c r="Z179">
        <v>3.130000000000003</v>
      </c>
      <c r="AA179" t="s">
        <v>465</v>
      </c>
      <c r="AB179" t="s">
        <v>472</v>
      </c>
      <c r="AD179" t="s">
        <v>478</v>
      </c>
      <c r="AF179">
        <v>39.76</v>
      </c>
      <c r="AG179" t="s">
        <v>502</v>
      </c>
      <c r="AH179" t="s">
        <v>497</v>
      </c>
      <c r="AI179">
        <v>40.4</v>
      </c>
      <c r="AJ179">
        <v>0.6400000000000006</v>
      </c>
      <c r="AK179" t="s">
        <v>466</v>
      </c>
      <c r="AL179">
        <v>60</v>
      </c>
      <c r="AM179">
        <v>37.81</v>
      </c>
      <c r="AN179" t="s">
        <v>452</v>
      </c>
      <c r="AO179" t="s">
        <v>515</v>
      </c>
      <c r="AP179">
        <v>37.7</v>
      </c>
      <c r="AQ179">
        <v>0.1099999999999994</v>
      </c>
      <c r="AR179" t="s">
        <v>465</v>
      </c>
      <c r="AS179" t="s">
        <v>449</v>
      </c>
      <c r="AT179">
        <v>3</v>
      </c>
      <c r="AU179" t="s">
        <v>565</v>
      </c>
      <c r="AV179" s="1" t="s">
        <v>744</v>
      </c>
      <c r="AW179" t="s">
        <v>808</v>
      </c>
    </row>
    <row r="180" spans="2:50">
      <c r="B180" t="s">
        <v>228</v>
      </c>
      <c r="E180" t="s">
        <v>325</v>
      </c>
      <c r="J180" t="s">
        <v>449</v>
      </c>
      <c r="K180" t="s">
        <v>450</v>
      </c>
      <c r="L180">
        <v>100</v>
      </c>
      <c r="M180">
        <v>39.54</v>
      </c>
      <c r="N180" t="s">
        <v>455</v>
      </c>
      <c r="O180" t="s">
        <v>462</v>
      </c>
      <c r="P180">
        <v>38.2</v>
      </c>
      <c r="Q180">
        <v>1.339999999999996</v>
      </c>
      <c r="R180" t="s">
        <v>465</v>
      </c>
      <c r="S180" t="s">
        <v>448</v>
      </c>
      <c r="T180" t="s">
        <v>450</v>
      </c>
      <c r="U180">
        <v>100</v>
      </c>
      <c r="V180">
        <v>40.74</v>
      </c>
      <c r="W180" t="s">
        <v>452</v>
      </c>
      <c r="X180" t="s">
        <v>470</v>
      </c>
      <c r="Y180">
        <v>36.3</v>
      </c>
      <c r="Z180">
        <v>4.440000000000005</v>
      </c>
      <c r="AA180" t="s">
        <v>465</v>
      </c>
      <c r="AB180" t="s">
        <v>472</v>
      </c>
      <c r="AD180" t="s">
        <v>478</v>
      </c>
      <c r="AF180">
        <v>38.64</v>
      </c>
      <c r="AG180" t="s">
        <v>499</v>
      </c>
      <c r="AH180" t="s">
        <v>497</v>
      </c>
      <c r="AI180">
        <v>38.3</v>
      </c>
      <c r="AJ180">
        <v>0.3400000000000034</v>
      </c>
      <c r="AK180" t="s">
        <v>465</v>
      </c>
      <c r="AL180">
        <v>30</v>
      </c>
      <c r="AM180">
        <v>37.41</v>
      </c>
      <c r="AN180" t="s">
        <v>452</v>
      </c>
      <c r="AO180" t="s">
        <v>558</v>
      </c>
      <c r="AP180">
        <v>37.7</v>
      </c>
      <c r="AQ180">
        <v>0.2900000000000063</v>
      </c>
      <c r="AR180" t="s">
        <v>465</v>
      </c>
      <c r="AS180" t="s">
        <v>563</v>
      </c>
      <c r="AU180" t="s">
        <v>565</v>
      </c>
      <c r="AV180" s="1" t="s">
        <v>745</v>
      </c>
      <c r="AW180" t="s">
        <v>808</v>
      </c>
      <c r="AX180" t="s">
        <v>815</v>
      </c>
    </row>
    <row r="181" spans="2:50">
      <c r="B181" t="s">
        <v>229</v>
      </c>
      <c r="J181" t="s">
        <v>448</v>
      </c>
      <c r="K181" t="s">
        <v>450</v>
      </c>
      <c r="L181">
        <v>100</v>
      </c>
      <c r="M181">
        <v>40.93</v>
      </c>
      <c r="N181" t="s">
        <v>456</v>
      </c>
      <c r="O181" t="s">
        <v>462</v>
      </c>
      <c r="P181">
        <v>38.2</v>
      </c>
      <c r="Q181">
        <v>2.729999999999997</v>
      </c>
      <c r="R181" t="s">
        <v>465</v>
      </c>
      <c r="S181" t="s">
        <v>449</v>
      </c>
      <c r="T181" t="s">
        <v>451</v>
      </c>
      <c r="U181">
        <v>90</v>
      </c>
      <c r="V181">
        <v>40.94</v>
      </c>
      <c r="W181" t="s">
        <v>456</v>
      </c>
      <c r="X181" t="s">
        <v>470</v>
      </c>
      <c r="Y181">
        <v>36.3</v>
      </c>
      <c r="Z181">
        <v>4.640000000000001</v>
      </c>
      <c r="AA181" t="s">
        <v>466</v>
      </c>
      <c r="AB181" t="s">
        <v>472</v>
      </c>
      <c r="AD181" t="s">
        <v>480</v>
      </c>
      <c r="AF181">
        <v>39.6</v>
      </c>
      <c r="AG181" t="s">
        <v>501</v>
      </c>
      <c r="AH181" t="s">
        <v>497</v>
      </c>
      <c r="AI181">
        <v>40.4</v>
      </c>
      <c r="AJ181">
        <v>0.7999999999999972</v>
      </c>
      <c r="AK181" t="s">
        <v>465</v>
      </c>
      <c r="AL181">
        <v>50</v>
      </c>
      <c r="AM181">
        <v>36.79</v>
      </c>
      <c r="AN181" t="s">
        <v>456</v>
      </c>
      <c r="AO181" t="s">
        <v>544</v>
      </c>
      <c r="AP181">
        <v>37</v>
      </c>
      <c r="AQ181">
        <v>0.2100000000000009</v>
      </c>
      <c r="AR181" t="s">
        <v>465</v>
      </c>
      <c r="AS181" t="s">
        <v>449</v>
      </c>
      <c r="AU181" t="s">
        <v>565</v>
      </c>
      <c r="AV181" s="1" t="s">
        <v>746</v>
      </c>
      <c r="AW181" t="s">
        <v>808</v>
      </c>
    </row>
    <row r="182" spans="2:50">
      <c r="B182" t="s">
        <v>230</v>
      </c>
      <c r="E182" t="s">
        <v>411</v>
      </c>
      <c r="J182" t="s">
        <v>448</v>
      </c>
      <c r="K182" t="s">
        <v>451</v>
      </c>
      <c r="L182">
        <v>85</v>
      </c>
      <c r="M182">
        <v>38.77</v>
      </c>
      <c r="N182" t="s">
        <v>456</v>
      </c>
      <c r="O182" t="s">
        <v>462</v>
      </c>
      <c r="P182">
        <v>38.2</v>
      </c>
      <c r="Q182">
        <v>0.5700000000000003</v>
      </c>
      <c r="R182" t="s">
        <v>465</v>
      </c>
      <c r="S182" t="s">
        <v>448</v>
      </c>
      <c r="T182" t="s">
        <v>451</v>
      </c>
      <c r="U182">
        <v>15</v>
      </c>
      <c r="V182">
        <v>39.33</v>
      </c>
      <c r="W182" t="s">
        <v>453</v>
      </c>
      <c r="X182" t="s">
        <v>470</v>
      </c>
      <c r="Y182">
        <v>36.3</v>
      </c>
      <c r="Z182">
        <v>3.030000000000001</v>
      </c>
      <c r="AA182" t="s">
        <v>466</v>
      </c>
      <c r="AB182" t="s">
        <v>474</v>
      </c>
      <c r="AD182" t="s">
        <v>485</v>
      </c>
      <c r="AF182">
        <v>39.41</v>
      </c>
      <c r="AG182" t="s">
        <v>455</v>
      </c>
      <c r="AH182" t="s">
        <v>497</v>
      </c>
      <c r="AI182">
        <v>40.4</v>
      </c>
      <c r="AJ182">
        <v>0.990000000000002</v>
      </c>
      <c r="AK182" t="s">
        <v>466</v>
      </c>
      <c r="AL182">
        <v>10</v>
      </c>
      <c r="AM182">
        <v>35.71</v>
      </c>
      <c r="AN182" t="s">
        <v>453</v>
      </c>
      <c r="AO182" t="s">
        <v>521</v>
      </c>
      <c r="AP182">
        <v>36.3</v>
      </c>
      <c r="AQ182">
        <v>0.5899999999999963</v>
      </c>
      <c r="AR182" t="s">
        <v>465</v>
      </c>
      <c r="AS182" t="s">
        <v>564</v>
      </c>
      <c r="AU182" t="s">
        <v>565</v>
      </c>
      <c r="AV182" s="1" t="s">
        <v>747</v>
      </c>
      <c r="AW182" t="s">
        <v>808</v>
      </c>
      <c r="AX182" t="s">
        <v>854</v>
      </c>
    </row>
    <row r="183" spans="2:50">
      <c r="B183" t="s">
        <v>231</v>
      </c>
      <c r="E183" t="s">
        <v>412</v>
      </c>
      <c r="J183" t="s">
        <v>449</v>
      </c>
      <c r="K183" t="s">
        <v>450</v>
      </c>
      <c r="L183">
        <v>100</v>
      </c>
      <c r="M183">
        <v>36.36</v>
      </c>
      <c r="N183" t="s">
        <v>453</v>
      </c>
      <c r="O183" t="s">
        <v>463</v>
      </c>
      <c r="P183">
        <v>37.1</v>
      </c>
      <c r="Q183">
        <v>0.740000000000002</v>
      </c>
      <c r="R183" t="s">
        <v>465</v>
      </c>
      <c r="S183" t="s">
        <v>448</v>
      </c>
      <c r="T183" t="s">
        <v>468</v>
      </c>
      <c r="U183">
        <v>1</v>
      </c>
      <c r="V183">
        <v>38.98</v>
      </c>
      <c r="W183" t="s">
        <v>455</v>
      </c>
      <c r="X183" t="s">
        <v>470</v>
      </c>
      <c r="Y183">
        <v>36.3</v>
      </c>
      <c r="Z183">
        <v>2.68</v>
      </c>
      <c r="AA183" t="s">
        <v>466</v>
      </c>
      <c r="AF183">
        <v>39.17</v>
      </c>
      <c r="AG183" t="s">
        <v>455</v>
      </c>
      <c r="AH183" t="s">
        <v>497</v>
      </c>
      <c r="AI183">
        <v>38.3</v>
      </c>
      <c r="AJ183">
        <v>0.8700000000000045</v>
      </c>
      <c r="AK183" t="s">
        <v>467</v>
      </c>
      <c r="AM183">
        <v>37.88</v>
      </c>
      <c r="AN183" t="s">
        <v>454</v>
      </c>
      <c r="AO183" t="s">
        <v>515</v>
      </c>
      <c r="AP183">
        <v>37.7</v>
      </c>
      <c r="AQ183">
        <v>0.1799999999999997</v>
      </c>
      <c r="AR183" t="s">
        <v>467</v>
      </c>
      <c r="AU183" t="s">
        <v>565</v>
      </c>
      <c r="AV183" s="1" t="s">
        <v>748</v>
      </c>
      <c r="AW183" t="s">
        <v>808</v>
      </c>
      <c r="AX183" t="s">
        <v>904</v>
      </c>
    </row>
    <row r="184" spans="2:50">
      <c r="B184" t="s">
        <v>232</v>
      </c>
      <c r="E184" t="s">
        <v>413</v>
      </c>
      <c r="J184" t="s">
        <v>448</v>
      </c>
      <c r="M184">
        <v>38.08</v>
      </c>
      <c r="N184" t="s">
        <v>453</v>
      </c>
      <c r="O184" t="s">
        <v>464</v>
      </c>
      <c r="P184">
        <v>38.2</v>
      </c>
      <c r="Q184">
        <v>0.1200000000000045</v>
      </c>
      <c r="R184" t="s">
        <v>466</v>
      </c>
      <c r="S184" t="s">
        <v>449</v>
      </c>
      <c r="V184">
        <v>39.49</v>
      </c>
      <c r="W184" t="s">
        <v>455</v>
      </c>
      <c r="X184" t="s">
        <v>470</v>
      </c>
      <c r="Y184">
        <v>36.3</v>
      </c>
      <c r="Z184">
        <v>3.190000000000005</v>
      </c>
      <c r="AA184" t="s">
        <v>465</v>
      </c>
      <c r="AC184" t="s">
        <v>475</v>
      </c>
      <c r="AD184" t="s">
        <v>487</v>
      </c>
      <c r="AF184">
        <v>39.17</v>
      </c>
      <c r="AG184" t="s">
        <v>499</v>
      </c>
      <c r="AH184" t="s">
        <v>497</v>
      </c>
      <c r="AI184">
        <v>38.3</v>
      </c>
      <c r="AJ184">
        <v>0.8700000000000045</v>
      </c>
      <c r="AK184" t="s">
        <v>467</v>
      </c>
      <c r="AL184">
        <v>60</v>
      </c>
      <c r="AM184">
        <v>36.91</v>
      </c>
      <c r="AN184" t="s">
        <v>454</v>
      </c>
      <c r="AO184" t="s">
        <v>516</v>
      </c>
      <c r="AP184">
        <v>37</v>
      </c>
      <c r="AQ184">
        <v>0.09000000000000341</v>
      </c>
      <c r="AR184" t="s">
        <v>465</v>
      </c>
      <c r="AS184" t="s">
        <v>563</v>
      </c>
      <c r="AU184" t="s">
        <v>566</v>
      </c>
      <c r="AV184" s="1" t="s">
        <v>749</v>
      </c>
      <c r="AW184" t="s">
        <v>808</v>
      </c>
      <c r="AX184" t="s">
        <v>905</v>
      </c>
    </row>
    <row r="185" spans="2:50">
      <c r="B185" t="s">
        <v>233</v>
      </c>
      <c r="E185" t="s">
        <v>414</v>
      </c>
      <c r="J185" t="s">
        <v>448</v>
      </c>
      <c r="M185">
        <v>37.29</v>
      </c>
      <c r="N185" t="s">
        <v>455</v>
      </c>
      <c r="O185" t="s">
        <v>464</v>
      </c>
      <c r="P185">
        <v>37.1</v>
      </c>
      <c r="Q185">
        <v>0.1899999999999977</v>
      </c>
      <c r="R185" t="s">
        <v>466</v>
      </c>
      <c r="S185" t="s">
        <v>449</v>
      </c>
      <c r="V185">
        <v>39.79</v>
      </c>
      <c r="W185" t="s">
        <v>456</v>
      </c>
      <c r="X185" t="s">
        <v>470</v>
      </c>
      <c r="Y185">
        <v>36.3</v>
      </c>
      <c r="Z185">
        <v>3.490000000000002</v>
      </c>
      <c r="AA185" t="s">
        <v>466</v>
      </c>
      <c r="AB185" t="s">
        <v>474</v>
      </c>
      <c r="AD185" t="s">
        <v>485</v>
      </c>
      <c r="AF185">
        <v>39.24</v>
      </c>
      <c r="AG185" t="s">
        <v>502</v>
      </c>
      <c r="AH185" t="s">
        <v>497</v>
      </c>
      <c r="AI185">
        <v>38.3</v>
      </c>
      <c r="AJ185">
        <v>0.9400000000000048</v>
      </c>
      <c r="AK185" t="s">
        <v>465</v>
      </c>
      <c r="AM185">
        <v>34.74</v>
      </c>
      <c r="AN185" t="s">
        <v>457</v>
      </c>
      <c r="AO185" t="s">
        <v>510</v>
      </c>
      <c r="AP185">
        <v>35.1</v>
      </c>
      <c r="AQ185">
        <v>0.3599999999999994</v>
      </c>
      <c r="AR185" t="s">
        <v>467</v>
      </c>
      <c r="AS185" t="s">
        <v>564</v>
      </c>
      <c r="AU185" t="s">
        <v>565</v>
      </c>
      <c r="AV185" s="1" t="s">
        <v>750</v>
      </c>
      <c r="AW185" t="s">
        <v>808</v>
      </c>
      <c r="AX185" t="s">
        <v>906</v>
      </c>
    </row>
    <row r="186" spans="2:50">
      <c r="B186" t="s">
        <v>234</v>
      </c>
      <c r="J186" t="s">
        <v>448</v>
      </c>
      <c r="K186" t="s">
        <v>450</v>
      </c>
      <c r="L186">
        <v>100</v>
      </c>
      <c r="M186">
        <v>40.79</v>
      </c>
      <c r="N186" t="s">
        <v>452</v>
      </c>
      <c r="O186" t="s">
        <v>462</v>
      </c>
      <c r="P186">
        <v>38.2</v>
      </c>
      <c r="Q186">
        <v>2.589999999999996</v>
      </c>
      <c r="R186" t="s">
        <v>465</v>
      </c>
      <c r="S186" t="s">
        <v>448</v>
      </c>
      <c r="T186" t="s">
        <v>468</v>
      </c>
      <c r="U186">
        <v>5</v>
      </c>
      <c r="V186">
        <v>38.43</v>
      </c>
      <c r="W186" t="s">
        <v>456</v>
      </c>
      <c r="X186" t="s">
        <v>470</v>
      </c>
      <c r="Y186">
        <v>36.3</v>
      </c>
      <c r="Z186">
        <v>2.130000000000003</v>
      </c>
      <c r="AA186" t="s">
        <v>465</v>
      </c>
      <c r="AB186" t="s">
        <v>472</v>
      </c>
      <c r="AD186" t="s">
        <v>477</v>
      </c>
      <c r="AF186">
        <v>39.17</v>
      </c>
      <c r="AG186" t="s">
        <v>501</v>
      </c>
      <c r="AH186" t="s">
        <v>497</v>
      </c>
      <c r="AI186">
        <v>38.3</v>
      </c>
      <c r="AJ186">
        <v>0.8700000000000045</v>
      </c>
      <c r="AK186" t="s">
        <v>465</v>
      </c>
      <c r="AL186">
        <v>60</v>
      </c>
      <c r="AM186">
        <v>35.54</v>
      </c>
      <c r="AN186" t="s">
        <v>453</v>
      </c>
      <c r="AO186" t="s">
        <v>517</v>
      </c>
      <c r="AP186">
        <v>35.1</v>
      </c>
      <c r="AQ186">
        <v>0.4399999999999977</v>
      </c>
      <c r="AR186" t="s">
        <v>466</v>
      </c>
      <c r="AS186" t="s">
        <v>448</v>
      </c>
      <c r="AT186">
        <v>5</v>
      </c>
      <c r="AU186" t="s">
        <v>565</v>
      </c>
      <c r="AV186" s="1" t="s">
        <v>751</v>
      </c>
      <c r="AW186" t="s">
        <v>808</v>
      </c>
    </row>
    <row r="187" spans="2:50">
      <c r="B187" t="s">
        <v>235</v>
      </c>
      <c r="J187" t="s">
        <v>448</v>
      </c>
      <c r="K187" t="s">
        <v>450</v>
      </c>
      <c r="L187">
        <v>100</v>
      </c>
      <c r="M187">
        <v>36.8</v>
      </c>
      <c r="N187" t="s">
        <v>457</v>
      </c>
      <c r="O187" t="s">
        <v>463</v>
      </c>
      <c r="P187">
        <v>37.1</v>
      </c>
      <c r="Q187">
        <v>0.3000000000000043</v>
      </c>
      <c r="R187" t="s">
        <v>466</v>
      </c>
      <c r="S187" t="s">
        <v>448</v>
      </c>
      <c r="T187" t="s">
        <v>468</v>
      </c>
      <c r="U187">
        <v>2</v>
      </c>
      <c r="V187">
        <v>36.57</v>
      </c>
      <c r="W187" t="s">
        <v>457</v>
      </c>
      <c r="X187" t="s">
        <v>470</v>
      </c>
      <c r="Y187">
        <v>36.3</v>
      </c>
      <c r="Z187">
        <v>0.2700000000000031</v>
      </c>
      <c r="AA187" t="s">
        <v>466</v>
      </c>
      <c r="AB187" t="s">
        <v>472</v>
      </c>
      <c r="AD187" t="s">
        <v>478</v>
      </c>
      <c r="AF187">
        <v>39.15</v>
      </c>
      <c r="AG187" t="s">
        <v>502</v>
      </c>
      <c r="AH187" t="s">
        <v>497</v>
      </c>
      <c r="AI187">
        <v>38.3</v>
      </c>
      <c r="AJ187">
        <v>0.8500000000000014</v>
      </c>
      <c r="AK187" t="s">
        <v>466</v>
      </c>
      <c r="AL187">
        <v>10</v>
      </c>
      <c r="AM187">
        <v>37.25</v>
      </c>
      <c r="AN187" t="s">
        <v>452</v>
      </c>
      <c r="AO187" t="s">
        <v>546</v>
      </c>
      <c r="AP187">
        <v>37</v>
      </c>
      <c r="AQ187">
        <v>0.25</v>
      </c>
      <c r="AR187" t="s">
        <v>466</v>
      </c>
      <c r="AS187" t="s">
        <v>449</v>
      </c>
      <c r="AT187">
        <v>3</v>
      </c>
      <c r="AU187" t="s">
        <v>565</v>
      </c>
      <c r="AV187" s="1" t="s">
        <v>752</v>
      </c>
      <c r="AW187" t="s">
        <v>808</v>
      </c>
    </row>
    <row r="188" spans="2:50">
      <c r="B188" t="s">
        <v>236</v>
      </c>
      <c r="E188" t="s">
        <v>325</v>
      </c>
      <c r="J188" t="s">
        <v>449</v>
      </c>
      <c r="K188" t="s">
        <v>450</v>
      </c>
      <c r="L188">
        <v>100</v>
      </c>
      <c r="M188">
        <v>39.33</v>
      </c>
      <c r="N188" t="s">
        <v>457</v>
      </c>
      <c r="O188" t="s">
        <v>462</v>
      </c>
      <c r="P188">
        <v>38.2</v>
      </c>
      <c r="Q188">
        <v>1.129999999999995</v>
      </c>
      <c r="R188" t="s">
        <v>465</v>
      </c>
      <c r="S188" t="s">
        <v>448</v>
      </c>
      <c r="T188" t="s">
        <v>450</v>
      </c>
      <c r="U188">
        <v>100</v>
      </c>
      <c r="V188">
        <v>38.79</v>
      </c>
      <c r="W188" t="s">
        <v>453</v>
      </c>
      <c r="X188" t="s">
        <v>470</v>
      </c>
      <c r="Y188">
        <v>36.3</v>
      </c>
      <c r="Z188">
        <v>2.490000000000002</v>
      </c>
      <c r="AA188" t="s">
        <v>466</v>
      </c>
      <c r="AB188" t="s">
        <v>472</v>
      </c>
      <c r="AD188" t="s">
        <v>488</v>
      </c>
      <c r="AF188">
        <v>37.5</v>
      </c>
      <c r="AG188" t="s">
        <v>501</v>
      </c>
      <c r="AH188" t="s">
        <v>505</v>
      </c>
      <c r="AI188">
        <v>38.3</v>
      </c>
      <c r="AJ188">
        <v>0.7999999999999972</v>
      </c>
      <c r="AK188" t="s">
        <v>465</v>
      </c>
      <c r="AL188">
        <v>25</v>
      </c>
      <c r="AM188">
        <v>35.18</v>
      </c>
      <c r="AN188" t="s">
        <v>457</v>
      </c>
      <c r="AO188" t="s">
        <v>518</v>
      </c>
      <c r="AP188">
        <v>35.1</v>
      </c>
      <c r="AQ188">
        <v>0.07999999999999829</v>
      </c>
      <c r="AR188" t="s">
        <v>466</v>
      </c>
      <c r="AS188" t="s">
        <v>563</v>
      </c>
      <c r="AU188" t="s">
        <v>565</v>
      </c>
      <c r="AV188" s="1" t="s">
        <v>753</v>
      </c>
      <c r="AW188" t="s">
        <v>808</v>
      </c>
      <c r="AX188" t="s">
        <v>875</v>
      </c>
    </row>
    <row r="189" spans="2:50">
      <c r="B189" t="s">
        <v>237</v>
      </c>
      <c r="J189" t="s">
        <v>448</v>
      </c>
      <c r="K189" t="s">
        <v>450</v>
      </c>
      <c r="L189">
        <v>100</v>
      </c>
      <c r="M189">
        <v>36.78</v>
      </c>
      <c r="N189" t="s">
        <v>457</v>
      </c>
      <c r="O189" t="s">
        <v>463</v>
      </c>
      <c r="P189">
        <v>37.1</v>
      </c>
      <c r="Q189">
        <v>0.3200000000000003</v>
      </c>
      <c r="R189" t="s">
        <v>466</v>
      </c>
      <c r="S189" t="s">
        <v>449</v>
      </c>
      <c r="T189" t="s">
        <v>451</v>
      </c>
      <c r="U189">
        <v>90</v>
      </c>
      <c r="V189">
        <v>37.41</v>
      </c>
      <c r="W189" t="s">
        <v>455</v>
      </c>
      <c r="X189" t="s">
        <v>470</v>
      </c>
      <c r="Y189">
        <v>36.3</v>
      </c>
      <c r="Z189">
        <v>1.109999999999999</v>
      </c>
      <c r="AA189" t="s">
        <v>465</v>
      </c>
      <c r="AB189" t="s">
        <v>472</v>
      </c>
      <c r="AD189" t="s">
        <v>480</v>
      </c>
      <c r="AF189">
        <v>36.04</v>
      </c>
      <c r="AG189" t="s">
        <v>499</v>
      </c>
      <c r="AH189" t="s">
        <v>505</v>
      </c>
      <c r="AI189">
        <v>38.3</v>
      </c>
      <c r="AJ189">
        <v>2.259999999999998</v>
      </c>
      <c r="AK189" t="s">
        <v>465</v>
      </c>
      <c r="AL189">
        <v>10</v>
      </c>
      <c r="AM189">
        <v>35.6</v>
      </c>
      <c r="AN189" t="s">
        <v>453</v>
      </c>
      <c r="AO189" t="s">
        <v>509</v>
      </c>
      <c r="AP189">
        <v>35.1</v>
      </c>
      <c r="AQ189">
        <v>0.5</v>
      </c>
      <c r="AR189" t="s">
        <v>465</v>
      </c>
      <c r="AS189" t="s">
        <v>449</v>
      </c>
      <c r="AU189" t="s">
        <v>565</v>
      </c>
      <c r="AV189" s="1" t="s">
        <v>754</v>
      </c>
      <c r="AW189" t="s">
        <v>808</v>
      </c>
    </row>
    <row r="190" spans="2:50">
      <c r="B190" t="s">
        <v>238</v>
      </c>
      <c r="E190" t="s">
        <v>415</v>
      </c>
      <c r="J190" t="s">
        <v>448</v>
      </c>
      <c r="K190" t="s">
        <v>451</v>
      </c>
      <c r="L190">
        <v>85</v>
      </c>
      <c r="M190">
        <v>40.82</v>
      </c>
      <c r="N190" t="s">
        <v>452</v>
      </c>
      <c r="O190" t="s">
        <v>462</v>
      </c>
      <c r="P190">
        <v>38.2</v>
      </c>
      <c r="Q190">
        <v>2.619999999999997</v>
      </c>
      <c r="R190" t="s">
        <v>465</v>
      </c>
      <c r="S190" t="s">
        <v>448</v>
      </c>
      <c r="T190" t="s">
        <v>451</v>
      </c>
      <c r="U190">
        <v>15</v>
      </c>
      <c r="V190">
        <v>38.69</v>
      </c>
      <c r="W190" t="s">
        <v>452</v>
      </c>
      <c r="X190" t="s">
        <v>470</v>
      </c>
      <c r="Y190">
        <v>36.3</v>
      </c>
      <c r="Z190">
        <v>2.390000000000001</v>
      </c>
      <c r="AA190" t="s">
        <v>465</v>
      </c>
      <c r="AC190" t="s">
        <v>475</v>
      </c>
      <c r="AD190" t="s">
        <v>487</v>
      </c>
      <c r="AF190">
        <v>38.71</v>
      </c>
      <c r="AG190" t="s">
        <v>496</v>
      </c>
      <c r="AH190" t="s">
        <v>497</v>
      </c>
      <c r="AI190">
        <v>38.3</v>
      </c>
      <c r="AJ190">
        <v>0.4100000000000037</v>
      </c>
      <c r="AK190" t="s">
        <v>467</v>
      </c>
      <c r="AL190">
        <v>50</v>
      </c>
      <c r="AM190">
        <v>35.83</v>
      </c>
      <c r="AN190" t="s">
        <v>457</v>
      </c>
      <c r="AO190" t="s">
        <v>514</v>
      </c>
      <c r="AP190">
        <v>36.3</v>
      </c>
      <c r="AQ190">
        <v>0.4699999999999989</v>
      </c>
      <c r="AR190" t="s">
        <v>466</v>
      </c>
      <c r="AS190" t="s">
        <v>564</v>
      </c>
      <c r="AU190" t="s">
        <v>565</v>
      </c>
      <c r="AV190" s="1" t="s">
        <v>755</v>
      </c>
      <c r="AW190" t="s">
        <v>808</v>
      </c>
      <c r="AX190" t="s">
        <v>822</v>
      </c>
    </row>
    <row r="191" spans="2:50">
      <c r="B191" t="s">
        <v>239</v>
      </c>
      <c r="E191" t="s">
        <v>416</v>
      </c>
      <c r="J191" t="s">
        <v>448</v>
      </c>
      <c r="K191" t="s">
        <v>450</v>
      </c>
      <c r="L191">
        <v>100</v>
      </c>
      <c r="M191">
        <v>37.99</v>
      </c>
      <c r="N191" t="s">
        <v>453</v>
      </c>
      <c r="O191" t="s">
        <v>464</v>
      </c>
      <c r="P191">
        <v>38.2</v>
      </c>
      <c r="Q191">
        <v>0.2100000000000009</v>
      </c>
      <c r="R191" t="s">
        <v>466</v>
      </c>
      <c r="S191" t="s">
        <v>448</v>
      </c>
      <c r="T191" t="s">
        <v>468</v>
      </c>
      <c r="U191">
        <v>1</v>
      </c>
      <c r="V191">
        <v>38.29</v>
      </c>
      <c r="W191" t="s">
        <v>456</v>
      </c>
      <c r="X191" t="s">
        <v>470</v>
      </c>
      <c r="Y191">
        <v>36.3</v>
      </c>
      <c r="Z191">
        <v>1.990000000000002</v>
      </c>
      <c r="AA191" t="s">
        <v>465</v>
      </c>
      <c r="AF191">
        <v>39.43</v>
      </c>
      <c r="AG191" t="s">
        <v>456</v>
      </c>
      <c r="AH191" t="s">
        <v>497</v>
      </c>
      <c r="AI191">
        <v>40.4</v>
      </c>
      <c r="AJ191">
        <v>0.9699999999999989</v>
      </c>
      <c r="AK191" t="s">
        <v>467</v>
      </c>
      <c r="AM191">
        <v>37.4</v>
      </c>
      <c r="AN191" t="s">
        <v>456</v>
      </c>
      <c r="AO191" t="s">
        <v>559</v>
      </c>
      <c r="AP191">
        <v>37.7</v>
      </c>
      <c r="AQ191">
        <v>0.3000000000000043</v>
      </c>
      <c r="AR191" t="s">
        <v>467</v>
      </c>
      <c r="AU191" t="s">
        <v>565</v>
      </c>
      <c r="AV191" s="1" t="s">
        <v>756</v>
      </c>
      <c r="AW191" t="s">
        <v>808</v>
      </c>
      <c r="AX191" t="s">
        <v>907</v>
      </c>
    </row>
    <row r="192" spans="2:50">
      <c r="B192" t="s">
        <v>240</v>
      </c>
      <c r="E192" t="s">
        <v>417</v>
      </c>
      <c r="J192" t="s">
        <v>448</v>
      </c>
      <c r="M192">
        <v>40.35</v>
      </c>
      <c r="N192" t="s">
        <v>452</v>
      </c>
      <c r="O192" t="s">
        <v>462</v>
      </c>
      <c r="P192">
        <v>38.2</v>
      </c>
      <c r="Q192">
        <v>2.149999999999999</v>
      </c>
      <c r="R192" t="s">
        <v>465</v>
      </c>
      <c r="S192" t="s">
        <v>449</v>
      </c>
      <c r="V192">
        <v>39.73</v>
      </c>
      <c r="W192" t="s">
        <v>454</v>
      </c>
      <c r="X192" t="s">
        <v>470</v>
      </c>
      <c r="Y192">
        <v>36.3</v>
      </c>
      <c r="Z192">
        <v>3.43</v>
      </c>
      <c r="AA192" t="s">
        <v>466</v>
      </c>
      <c r="AC192" t="s">
        <v>475</v>
      </c>
      <c r="AD192" t="s">
        <v>487</v>
      </c>
      <c r="AF192">
        <v>38.68</v>
      </c>
      <c r="AG192" t="s">
        <v>502</v>
      </c>
      <c r="AH192" t="s">
        <v>497</v>
      </c>
      <c r="AI192">
        <v>38.3</v>
      </c>
      <c r="AJ192">
        <v>0.3800000000000026</v>
      </c>
      <c r="AK192" t="s">
        <v>467</v>
      </c>
      <c r="AL192">
        <v>15</v>
      </c>
      <c r="AM192">
        <v>37.32</v>
      </c>
      <c r="AN192" t="s">
        <v>454</v>
      </c>
      <c r="AO192" t="s">
        <v>529</v>
      </c>
      <c r="AP192">
        <v>37</v>
      </c>
      <c r="AQ192">
        <v>0.3200000000000003</v>
      </c>
      <c r="AR192" t="s">
        <v>466</v>
      </c>
      <c r="AS192" t="s">
        <v>563</v>
      </c>
      <c r="AU192" t="s">
        <v>566</v>
      </c>
      <c r="AV192" s="1" t="s">
        <v>757</v>
      </c>
      <c r="AW192" t="s">
        <v>808</v>
      </c>
      <c r="AX192" t="s">
        <v>908</v>
      </c>
    </row>
    <row r="193" spans="2:50">
      <c r="B193" t="s">
        <v>241</v>
      </c>
      <c r="E193" t="s">
        <v>418</v>
      </c>
      <c r="J193" t="s">
        <v>449</v>
      </c>
      <c r="M193">
        <v>40.87</v>
      </c>
      <c r="N193" t="s">
        <v>454</v>
      </c>
      <c r="O193" t="s">
        <v>462</v>
      </c>
      <c r="P193">
        <v>38.2</v>
      </c>
      <c r="Q193">
        <v>2.669999999999995</v>
      </c>
      <c r="R193" t="s">
        <v>466</v>
      </c>
      <c r="S193" t="s">
        <v>449</v>
      </c>
      <c r="V193">
        <v>39.57</v>
      </c>
      <c r="W193" t="s">
        <v>454</v>
      </c>
      <c r="X193" t="s">
        <v>470</v>
      </c>
      <c r="Y193">
        <v>36.3</v>
      </c>
      <c r="Z193">
        <v>3.270000000000003</v>
      </c>
      <c r="AA193" t="s">
        <v>466</v>
      </c>
      <c r="AB193" t="s">
        <v>472</v>
      </c>
      <c r="AD193" t="s">
        <v>488</v>
      </c>
      <c r="AF193">
        <v>36.87</v>
      </c>
      <c r="AG193" t="s">
        <v>500</v>
      </c>
      <c r="AH193" t="s">
        <v>505</v>
      </c>
      <c r="AI193">
        <v>38.3</v>
      </c>
      <c r="AJ193">
        <v>1.43</v>
      </c>
      <c r="AK193" t="s">
        <v>465</v>
      </c>
      <c r="AL193">
        <v>50</v>
      </c>
      <c r="AM193">
        <v>37.03</v>
      </c>
      <c r="AN193" t="s">
        <v>454</v>
      </c>
      <c r="AO193" t="s">
        <v>536</v>
      </c>
      <c r="AP193">
        <v>37</v>
      </c>
      <c r="AQ193">
        <v>0.03000000000000114</v>
      </c>
      <c r="AR193" t="s">
        <v>465</v>
      </c>
      <c r="AS193" t="s">
        <v>564</v>
      </c>
      <c r="AU193" t="s">
        <v>565</v>
      </c>
      <c r="AV193" s="1" t="s">
        <v>758</v>
      </c>
      <c r="AW193" t="s">
        <v>808</v>
      </c>
      <c r="AX193" t="s">
        <v>909</v>
      </c>
    </row>
    <row r="194" spans="2:50">
      <c r="B194" t="s">
        <v>242</v>
      </c>
      <c r="J194" t="s">
        <v>449</v>
      </c>
      <c r="K194" t="s">
        <v>450</v>
      </c>
      <c r="L194">
        <v>100</v>
      </c>
      <c r="M194">
        <v>40.31</v>
      </c>
      <c r="N194" t="s">
        <v>456</v>
      </c>
      <c r="O194" t="s">
        <v>462</v>
      </c>
      <c r="P194">
        <v>38.2</v>
      </c>
      <c r="Q194">
        <v>2.109999999999999</v>
      </c>
      <c r="R194" t="s">
        <v>466</v>
      </c>
      <c r="S194" t="s">
        <v>448</v>
      </c>
      <c r="T194" t="s">
        <v>468</v>
      </c>
      <c r="U194">
        <v>5</v>
      </c>
      <c r="V194">
        <v>40.27</v>
      </c>
      <c r="W194" t="s">
        <v>456</v>
      </c>
      <c r="X194" t="s">
        <v>470</v>
      </c>
      <c r="Y194">
        <v>36.3</v>
      </c>
      <c r="Z194">
        <v>3.970000000000006</v>
      </c>
      <c r="AA194" t="s">
        <v>465</v>
      </c>
      <c r="AB194" t="s">
        <v>472</v>
      </c>
      <c r="AD194" t="s">
        <v>477</v>
      </c>
      <c r="AF194">
        <v>39.19</v>
      </c>
      <c r="AG194" t="s">
        <v>496</v>
      </c>
      <c r="AH194" t="s">
        <v>497</v>
      </c>
      <c r="AI194">
        <v>38.3</v>
      </c>
      <c r="AJ194">
        <v>0.8900000000000006</v>
      </c>
      <c r="AK194" t="s">
        <v>465</v>
      </c>
      <c r="AL194">
        <v>10</v>
      </c>
      <c r="AM194">
        <v>37.71</v>
      </c>
      <c r="AN194" t="s">
        <v>454</v>
      </c>
      <c r="AO194" t="s">
        <v>515</v>
      </c>
      <c r="AP194">
        <v>37.7</v>
      </c>
      <c r="AQ194">
        <v>0.00999999999999801</v>
      </c>
      <c r="AR194" t="s">
        <v>466</v>
      </c>
      <c r="AS194" t="s">
        <v>448</v>
      </c>
      <c r="AT194">
        <v>5</v>
      </c>
      <c r="AU194" t="s">
        <v>565</v>
      </c>
      <c r="AV194" s="1" t="s">
        <v>759</v>
      </c>
      <c r="AW194" t="s">
        <v>808</v>
      </c>
    </row>
    <row r="195" spans="2:50">
      <c r="B195" t="s">
        <v>243</v>
      </c>
      <c r="J195" t="s">
        <v>449</v>
      </c>
      <c r="K195" t="s">
        <v>450</v>
      </c>
      <c r="L195">
        <v>100</v>
      </c>
      <c r="M195">
        <v>38.61</v>
      </c>
      <c r="N195" t="s">
        <v>457</v>
      </c>
      <c r="O195" t="s">
        <v>462</v>
      </c>
      <c r="P195">
        <v>38.2</v>
      </c>
      <c r="Q195">
        <v>0.4099999999999966</v>
      </c>
      <c r="R195" t="s">
        <v>465</v>
      </c>
      <c r="S195" t="s">
        <v>449</v>
      </c>
      <c r="T195" t="s">
        <v>468</v>
      </c>
      <c r="U195">
        <v>2</v>
      </c>
      <c r="V195">
        <v>36.13</v>
      </c>
      <c r="W195" t="s">
        <v>455</v>
      </c>
      <c r="X195" t="s">
        <v>471</v>
      </c>
      <c r="Y195">
        <v>36.3</v>
      </c>
      <c r="Z195">
        <v>0.1699999999999946</v>
      </c>
      <c r="AA195" t="s">
        <v>465</v>
      </c>
      <c r="AB195" t="s">
        <v>472</v>
      </c>
      <c r="AD195" t="s">
        <v>478</v>
      </c>
      <c r="AF195">
        <v>40.1</v>
      </c>
      <c r="AG195" t="s">
        <v>456</v>
      </c>
      <c r="AH195" t="s">
        <v>497</v>
      </c>
      <c r="AI195">
        <v>40.4</v>
      </c>
      <c r="AJ195">
        <v>0.2999999999999972</v>
      </c>
      <c r="AK195" t="s">
        <v>466</v>
      </c>
      <c r="AL195">
        <v>50</v>
      </c>
      <c r="AM195">
        <v>36.66</v>
      </c>
      <c r="AN195" t="s">
        <v>454</v>
      </c>
      <c r="AO195" t="s">
        <v>557</v>
      </c>
      <c r="AP195">
        <v>37</v>
      </c>
      <c r="AQ195">
        <v>0.3400000000000034</v>
      </c>
      <c r="AR195" t="s">
        <v>465</v>
      </c>
      <c r="AS195" t="s">
        <v>449</v>
      </c>
      <c r="AT195">
        <v>3</v>
      </c>
      <c r="AU195" t="s">
        <v>565</v>
      </c>
      <c r="AV195" s="1" t="s">
        <v>760</v>
      </c>
      <c r="AW195" t="s">
        <v>808</v>
      </c>
    </row>
    <row r="196" spans="2:50">
      <c r="B196" t="s">
        <v>244</v>
      </c>
      <c r="E196" t="s">
        <v>325</v>
      </c>
      <c r="J196" t="s">
        <v>448</v>
      </c>
      <c r="K196" t="s">
        <v>450</v>
      </c>
      <c r="L196">
        <v>100</v>
      </c>
      <c r="M196">
        <v>40.96</v>
      </c>
      <c r="N196" t="s">
        <v>456</v>
      </c>
      <c r="O196" t="s">
        <v>462</v>
      </c>
      <c r="P196">
        <v>38.2</v>
      </c>
      <c r="Q196">
        <v>2.759999999999998</v>
      </c>
      <c r="R196" t="s">
        <v>465</v>
      </c>
      <c r="S196" t="s">
        <v>448</v>
      </c>
      <c r="T196" t="s">
        <v>450</v>
      </c>
      <c r="U196">
        <v>100</v>
      </c>
      <c r="V196">
        <v>38.36</v>
      </c>
      <c r="W196" t="s">
        <v>456</v>
      </c>
      <c r="X196" t="s">
        <v>470</v>
      </c>
      <c r="Y196">
        <v>36.3</v>
      </c>
      <c r="Z196">
        <v>2.060000000000002</v>
      </c>
      <c r="AA196" t="s">
        <v>465</v>
      </c>
      <c r="AC196" t="s">
        <v>475</v>
      </c>
      <c r="AD196" t="s">
        <v>487</v>
      </c>
      <c r="AF196">
        <v>36.27</v>
      </c>
      <c r="AG196" t="s">
        <v>499</v>
      </c>
      <c r="AH196" t="s">
        <v>505</v>
      </c>
      <c r="AI196">
        <v>38.3</v>
      </c>
      <c r="AJ196">
        <v>2.029999999999994</v>
      </c>
      <c r="AK196" t="s">
        <v>467</v>
      </c>
      <c r="AL196">
        <v>10</v>
      </c>
      <c r="AM196">
        <v>35.15</v>
      </c>
      <c r="AN196" t="s">
        <v>453</v>
      </c>
      <c r="AO196" t="s">
        <v>518</v>
      </c>
      <c r="AP196">
        <v>35.1</v>
      </c>
      <c r="AQ196">
        <v>0.04999999999999716</v>
      </c>
      <c r="AR196" t="s">
        <v>465</v>
      </c>
      <c r="AS196" t="s">
        <v>563</v>
      </c>
      <c r="AU196" t="s">
        <v>565</v>
      </c>
      <c r="AV196" s="1" t="s">
        <v>761</v>
      </c>
      <c r="AW196" t="s">
        <v>808</v>
      </c>
      <c r="AX196" t="s">
        <v>888</v>
      </c>
    </row>
    <row r="197" spans="2:50">
      <c r="B197" t="s">
        <v>245</v>
      </c>
      <c r="J197" t="s">
        <v>448</v>
      </c>
      <c r="K197" t="s">
        <v>450</v>
      </c>
      <c r="L197">
        <v>100</v>
      </c>
      <c r="M197">
        <v>37.11</v>
      </c>
      <c r="N197" t="s">
        <v>455</v>
      </c>
      <c r="O197" t="s">
        <v>464</v>
      </c>
      <c r="P197">
        <v>37.1</v>
      </c>
      <c r="Q197">
        <v>0.00999999999999801</v>
      </c>
      <c r="R197" t="s">
        <v>466</v>
      </c>
      <c r="S197" t="s">
        <v>449</v>
      </c>
      <c r="T197" t="s">
        <v>451</v>
      </c>
      <c r="U197">
        <v>90</v>
      </c>
      <c r="V197">
        <v>39.09</v>
      </c>
      <c r="W197" t="s">
        <v>455</v>
      </c>
      <c r="X197" t="s">
        <v>470</v>
      </c>
      <c r="Y197">
        <v>36.3</v>
      </c>
      <c r="Z197">
        <v>2.790000000000006</v>
      </c>
      <c r="AA197" t="s">
        <v>465</v>
      </c>
      <c r="AB197" t="s">
        <v>472</v>
      </c>
      <c r="AD197" t="s">
        <v>480</v>
      </c>
      <c r="AF197">
        <v>37.44</v>
      </c>
      <c r="AG197" t="s">
        <v>500</v>
      </c>
      <c r="AH197" t="s">
        <v>505</v>
      </c>
      <c r="AI197">
        <v>38.3</v>
      </c>
      <c r="AJ197">
        <v>0.8599999999999994</v>
      </c>
      <c r="AK197" t="s">
        <v>465</v>
      </c>
      <c r="AL197">
        <v>40</v>
      </c>
      <c r="AM197">
        <v>36.14</v>
      </c>
      <c r="AN197" t="s">
        <v>457</v>
      </c>
      <c r="AO197" t="s">
        <v>542</v>
      </c>
      <c r="AP197">
        <v>36.3</v>
      </c>
      <c r="AQ197">
        <v>0.1599999999999966</v>
      </c>
      <c r="AR197" t="s">
        <v>466</v>
      </c>
      <c r="AS197" t="s">
        <v>449</v>
      </c>
      <c r="AU197" t="s">
        <v>565</v>
      </c>
      <c r="AV197" s="1" t="s">
        <v>762</v>
      </c>
      <c r="AW197" t="s">
        <v>808</v>
      </c>
    </row>
    <row r="198" spans="2:50">
      <c r="B198" t="s">
        <v>246</v>
      </c>
      <c r="E198" t="s">
        <v>419</v>
      </c>
      <c r="J198" t="s">
        <v>449</v>
      </c>
      <c r="K198" t="s">
        <v>451</v>
      </c>
      <c r="L198">
        <v>85</v>
      </c>
      <c r="M198">
        <v>40.82</v>
      </c>
      <c r="N198" t="s">
        <v>456</v>
      </c>
      <c r="O198" t="s">
        <v>462</v>
      </c>
      <c r="P198">
        <v>38.2</v>
      </c>
      <c r="Q198">
        <v>2.619999999999997</v>
      </c>
      <c r="R198" t="s">
        <v>466</v>
      </c>
      <c r="S198" t="s">
        <v>448</v>
      </c>
      <c r="T198" t="s">
        <v>451</v>
      </c>
      <c r="U198">
        <v>15</v>
      </c>
      <c r="V198">
        <v>38.56</v>
      </c>
      <c r="W198" t="s">
        <v>452</v>
      </c>
      <c r="X198" t="s">
        <v>470</v>
      </c>
      <c r="Y198">
        <v>36.3</v>
      </c>
      <c r="Z198">
        <v>2.260000000000005</v>
      </c>
      <c r="AA198" t="s">
        <v>465</v>
      </c>
      <c r="AB198" t="s">
        <v>474</v>
      </c>
      <c r="AD198" t="s">
        <v>485</v>
      </c>
      <c r="AF198">
        <v>37.7</v>
      </c>
      <c r="AG198" t="s">
        <v>501</v>
      </c>
      <c r="AH198" t="s">
        <v>505</v>
      </c>
      <c r="AI198">
        <v>38.3</v>
      </c>
      <c r="AJ198">
        <v>0.5999999999999943</v>
      </c>
      <c r="AK198" t="s">
        <v>466</v>
      </c>
      <c r="AL198">
        <v>15</v>
      </c>
      <c r="AM198">
        <v>35.32</v>
      </c>
      <c r="AN198" t="s">
        <v>453</v>
      </c>
      <c r="AO198" t="s">
        <v>543</v>
      </c>
      <c r="AP198">
        <v>35.1</v>
      </c>
      <c r="AQ198">
        <v>0.2199999999999989</v>
      </c>
      <c r="AR198" t="s">
        <v>465</v>
      </c>
      <c r="AS198" t="s">
        <v>564</v>
      </c>
      <c r="AU198" t="s">
        <v>565</v>
      </c>
      <c r="AV198" s="1" t="s">
        <v>763</v>
      </c>
      <c r="AW198" t="s">
        <v>808</v>
      </c>
      <c r="AX198" t="s">
        <v>888</v>
      </c>
    </row>
    <row r="199" spans="2:50">
      <c r="B199" t="s">
        <v>247</v>
      </c>
      <c r="E199" t="s">
        <v>420</v>
      </c>
      <c r="J199" t="s">
        <v>449</v>
      </c>
      <c r="K199" t="s">
        <v>450</v>
      </c>
      <c r="L199">
        <v>100</v>
      </c>
      <c r="M199">
        <v>39.41</v>
      </c>
      <c r="N199" t="s">
        <v>456</v>
      </c>
      <c r="O199" t="s">
        <v>462</v>
      </c>
      <c r="P199">
        <v>38.2</v>
      </c>
      <c r="Q199">
        <v>1.209999999999994</v>
      </c>
      <c r="R199" t="s">
        <v>466</v>
      </c>
      <c r="S199" t="s">
        <v>449</v>
      </c>
      <c r="T199" t="s">
        <v>468</v>
      </c>
      <c r="U199">
        <v>1</v>
      </c>
      <c r="V199">
        <v>39.36</v>
      </c>
      <c r="W199" t="s">
        <v>454</v>
      </c>
      <c r="X199" t="s">
        <v>470</v>
      </c>
      <c r="Y199">
        <v>36.3</v>
      </c>
      <c r="Z199">
        <v>3.060000000000002</v>
      </c>
      <c r="AA199" t="s">
        <v>466</v>
      </c>
      <c r="AF199">
        <v>37.4</v>
      </c>
      <c r="AG199" t="s">
        <v>455</v>
      </c>
      <c r="AH199" t="s">
        <v>505</v>
      </c>
      <c r="AI199">
        <v>38.3</v>
      </c>
      <c r="AJ199">
        <v>0.8999999999999986</v>
      </c>
      <c r="AK199" t="s">
        <v>467</v>
      </c>
      <c r="AM199">
        <v>36.99</v>
      </c>
      <c r="AN199" t="s">
        <v>456</v>
      </c>
      <c r="AO199" t="s">
        <v>530</v>
      </c>
      <c r="AP199">
        <v>37</v>
      </c>
      <c r="AQ199">
        <v>0.00999999999999801</v>
      </c>
      <c r="AR199" t="s">
        <v>467</v>
      </c>
      <c r="AU199" t="s">
        <v>565</v>
      </c>
      <c r="AV199" s="1" t="s">
        <v>764</v>
      </c>
      <c r="AW199" t="s">
        <v>808</v>
      </c>
      <c r="AX199" t="s">
        <v>910</v>
      </c>
    </row>
    <row r="200" spans="2:50">
      <c r="B200" t="s">
        <v>248</v>
      </c>
      <c r="E200" t="s">
        <v>421</v>
      </c>
      <c r="J200" t="s">
        <v>449</v>
      </c>
      <c r="M200">
        <v>39.62</v>
      </c>
      <c r="N200" t="s">
        <v>457</v>
      </c>
      <c r="O200" t="s">
        <v>462</v>
      </c>
      <c r="P200">
        <v>38.2</v>
      </c>
      <c r="Q200">
        <v>1.419999999999995</v>
      </c>
      <c r="R200" t="s">
        <v>465</v>
      </c>
      <c r="S200" t="s">
        <v>449</v>
      </c>
      <c r="V200">
        <v>38.87</v>
      </c>
      <c r="W200" t="s">
        <v>454</v>
      </c>
      <c r="X200" t="s">
        <v>470</v>
      </c>
      <c r="Y200">
        <v>36.3</v>
      </c>
      <c r="Z200">
        <v>2.57</v>
      </c>
      <c r="AA200" t="s">
        <v>466</v>
      </c>
      <c r="AB200" t="s">
        <v>472</v>
      </c>
      <c r="AD200" t="s">
        <v>478</v>
      </c>
      <c r="AF200">
        <v>36.83</v>
      </c>
      <c r="AG200" t="s">
        <v>496</v>
      </c>
      <c r="AH200" t="s">
        <v>505</v>
      </c>
      <c r="AI200">
        <v>38.3</v>
      </c>
      <c r="AJ200">
        <v>1.469999999999999</v>
      </c>
      <c r="AK200" t="s">
        <v>465</v>
      </c>
      <c r="AM200">
        <v>36.52</v>
      </c>
      <c r="AN200" t="s">
        <v>456</v>
      </c>
      <c r="AO200" t="s">
        <v>538</v>
      </c>
      <c r="AP200">
        <v>36.3</v>
      </c>
      <c r="AQ200">
        <v>0.220000000000006</v>
      </c>
      <c r="AR200" t="s">
        <v>467</v>
      </c>
      <c r="AS200" t="s">
        <v>563</v>
      </c>
      <c r="AU200" t="s">
        <v>566</v>
      </c>
      <c r="AV200" s="1" t="s">
        <v>765</v>
      </c>
      <c r="AW200" t="s">
        <v>808</v>
      </c>
      <c r="AX200" t="s">
        <v>883</v>
      </c>
    </row>
    <row r="201" spans="2:50">
      <c r="B201" t="s">
        <v>249</v>
      </c>
      <c r="E201" t="s">
        <v>422</v>
      </c>
      <c r="J201" t="s">
        <v>448</v>
      </c>
      <c r="M201">
        <v>40.97</v>
      </c>
      <c r="N201" t="s">
        <v>452</v>
      </c>
      <c r="O201" t="s">
        <v>462</v>
      </c>
      <c r="P201">
        <v>38.2</v>
      </c>
      <c r="Q201">
        <v>2.769999999999996</v>
      </c>
      <c r="R201" t="s">
        <v>465</v>
      </c>
      <c r="S201" t="s">
        <v>449</v>
      </c>
      <c r="V201">
        <v>38.11</v>
      </c>
      <c r="W201" t="s">
        <v>453</v>
      </c>
      <c r="X201" t="s">
        <v>470</v>
      </c>
      <c r="Y201">
        <v>36.3</v>
      </c>
      <c r="Z201">
        <v>1.810000000000002</v>
      </c>
      <c r="AA201" t="s">
        <v>465</v>
      </c>
      <c r="AC201" t="s">
        <v>475</v>
      </c>
      <c r="AD201" t="s">
        <v>487</v>
      </c>
      <c r="AF201">
        <v>37.45</v>
      </c>
      <c r="AG201" t="s">
        <v>501</v>
      </c>
      <c r="AH201" t="s">
        <v>505</v>
      </c>
      <c r="AI201">
        <v>38.3</v>
      </c>
      <c r="AJ201">
        <v>0.8499999999999943</v>
      </c>
      <c r="AK201" t="s">
        <v>467</v>
      </c>
      <c r="AL201">
        <v>40</v>
      </c>
      <c r="AM201">
        <v>35.59</v>
      </c>
      <c r="AN201" t="s">
        <v>453</v>
      </c>
      <c r="AO201" t="s">
        <v>509</v>
      </c>
      <c r="AP201">
        <v>35.1</v>
      </c>
      <c r="AQ201">
        <v>0.490000000000002</v>
      </c>
      <c r="AR201" t="s">
        <v>466</v>
      </c>
      <c r="AS201" t="s">
        <v>564</v>
      </c>
      <c r="AU201" t="s">
        <v>565</v>
      </c>
      <c r="AV201" s="1" t="s">
        <v>766</v>
      </c>
      <c r="AW201" t="s">
        <v>808</v>
      </c>
      <c r="AX201" t="s">
        <v>911</v>
      </c>
    </row>
    <row r="202" spans="2:50">
      <c r="B202" t="s">
        <v>250</v>
      </c>
      <c r="K202" t="s">
        <v>450</v>
      </c>
      <c r="L202">
        <v>100</v>
      </c>
      <c r="M202">
        <v>30.53</v>
      </c>
      <c r="N202" t="s">
        <v>458</v>
      </c>
      <c r="O202" t="s">
        <v>463</v>
      </c>
      <c r="P202">
        <v>37.1</v>
      </c>
      <c r="Q202">
        <v>6.57</v>
      </c>
      <c r="R202" t="s">
        <v>467</v>
      </c>
      <c r="T202" t="s">
        <v>468</v>
      </c>
      <c r="U202">
        <v>2</v>
      </c>
      <c r="V202">
        <v>34.35</v>
      </c>
      <c r="W202" t="s">
        <v>461</v>
      </c>
      <c r="X202" t="s">
        <v>463</v>
      </c>
      <c r="Y202">
        <v>35</v>
      </c>
      <c r="Z202">
        <v>0.6499999999999986</v>
      </c>
      <c r="AA202" t="s">
        <v>467</v>
      </c>
      <c r="AB202" t="s">
        <v>472</v>
      </c>
      <c r="AD202" t="s">
        <v>478</v>
      </c>
      <c r="AF202">
        <v>39.48</v>
      </c>
      <c r="AG202" t="s">
        <v>503</v>
      </c>
      <c r="AH202" t="s">
        <v>497</v>
      </c>
      <c r="AI202">
        <v>40.4</v>
      </c>
      <c r="AJ202">
        <v>0.9200000000000017</v>
      </c>
      <c r="AK202" t="s">
        <v>466</v>
      </c>
      <c r="AM202">
        <v>31.99</v>
      </c>
      <c r="AN202" t="s">
        <v>458</v>
      </c>
      <c r="AO202" t="s">
        <v>510</v>
      </c>
      <c r="AP202">
        <v>35.1</v>
      </c>
      <c r="AQ202">
        <v>3.110000000000003</v>
      </c>
      <c r="AR202" t="s">
        <v>467</v>
      </c>
      <c r="AS202" t="s">
        <v>449</v>
      </c>
      <c r="AT202">
        <v>3</v>
      </c>
      <c r="AU202" t="s">
        <v>565</v>
      </c>
      <c r="AV202" s="1" t="s">
        <v>767</v>
      </c>
      <c r="AW202" t="s">
        <v>808</v>
      </c>
    </row>
    <row r="203" spans="2:50">
      <c r="B203" t="s">
        <v>251</v>
      </c>
      <c r="E203" t="s">
        <v>325</v>
      </c>
      <c r="J203" t="s">
        <v>449</v>
      </c>
      <c r="K203" t="s">
        <v>450</v>
      </c>
      <c r="L203">
        <v>100</v>
      </c>
      <c r="M203">
        <v>39.97</v>
      </c>
      <c r="N203" t="s">
        <v>458</v>
      </c>
      <c r="O203" t="s">
        <v>462</v>
      </c>
      <c r="P203">
        <v>38.2</v>
      </c>
      <c r="Q203">
        <v>1.769999999999996</v>
      </c>
      <c r="R203" t="s">
        <v>467</v>
      </c>
      <c r="T203" t="s">
        <v>450</v>
      </c>
      <c r="U203">
        <v>100</v>
      </c>
      <c r="AA203" t="s">
        <v>467</v>
      </c>
      <c r="AD203" t="s">
        <v>489</v>
      </c>
      <c r="AK203" t="s">
        <v>467</v>
      </c>
      <c r="AR203" t="s">
        <v>467</v>
      </c>
      <c r="AS203" t="s">
        <v>563</v>
      </c>
      <c r="AU203" t="s">
        <v>565</v>
      </c>
      <c r="AW203" t="s">
        <v>809</v>
      </c>
      <c r="AX203" t="s">
        <v>912</v>
      </c>
    </row>
    <row r="204" spans="2:50">
      <c r="B204" t="s">
        <v>252</v>
      </c>
      <c r="K204" t="s">
        <v>450</v>
      </c>
      <c r="L204">
        <v>100</v>
      </c>
      <c r="M204">
        <v>31.2</v>
      </c>
      <c r="N204" t="s">
        <v>458</v>
      </c>
      <c r="O204" t="s">
        <v>463</v>
      </c>
      <c r="P204">
        <v>37.1</v>
      </c>
      <c r="Q204">
        <v>5.900000000000002</v>
      </c>
      <c r="R204" t="s">
        <v>467</v>
      </c>
      <c r="T204" t="s">
        <v>451</v>
      </c>
      <c r="U204">
        <v>90</v>
      </c>
      <c r="AA204" t="s">
        <v>467</v>
      </c>
      <c r="AB204" t="s">
        <v>472</v>
      </c>
      <c r="AD204" t="s">
        <v>480</v>
      </c>
      <c r="AF204">
        <v>30.58</v>
      </c>
      <c r="AG204" t="s">
        <v>504</v>
      </c>
      <c r="AH204" t="s">
        <v>505</v>
      </c>
      <c r="AI204">
        <v>38.3</v>
      </c>
      <c r="AJ204">
        <v>7.719999999999999</v>
      </c>
      <c r="AK204" t="s">
        <v>467</v>
      </c>
      <c r="AM204">
        <v>37.58</v>
      </c>
      <c r="AN204" t="s">
        <v>460</v>
      </c>
      <c r="AO204" t="s">
        <v>560</v>
      </c>
      <c r="AP204">
        <v>37.7</v>
      </c>
      <c r="AQ204">
        <v>0.1200000000000045</v>
      </c>
      <c r="AR204" t="s">
        <v>467</v>
      </c>
      <c r="AS204" t="s">
        <v>449</v>
      </c>
      <c r="AU204" t="s">
        <v>565</v>
      </c>
      <c r="AV204" s="1" t="s">
        <v>768</v>
      </c>
      <c r="AW204" t="s">
        <v>808</v>
      </c>
    </row>
    <row r="205" spans="2:50">
      <c r="B205" t="s">
        <v>253</v>
      </c>
      <c r="E205" t="s">
        <v>423</v>
      </c>
      <c r="K205" t="s">
        <v>450</v>
      </c>
      <c r="L205">
        <v>100</v>
      </c>
      <c r="M205">
        <v>32.05</v>
      </c>
      <c r="N205" t="s">
        <v>459</v>
      </c>
      <c r="O205" t="s">
        <v>463</v>
      </c>
      <c r="P205">
        <v>37.1</v>
      </c>
      <c r="Q205">
        <v>5.050000000000004</v>
      </c>
      <c r="R205" t="s">
        <v>467</v>
      </c>
      <c r="T205" t="s">
        <v>468</v>
      </c>
      <c r="U205">
        <v>1</v>
      </c>
      <c r="AA205" t="s">
        <v>467</v>
      </c>
      <c r="AF205">
        <v>36.49</v>
      </c>
      <c r="AG205" t="s">
        <v>497</v>
      </c>
      <c r="AH205" t="s">
        <v>505</v>
      </c>
      <c r="AI205">
        <v>38.3</v>
      </c>
      <c r="AJ205">
        <v>1.809999999999995</v>
      </c>
      <c r="AK205" t="s">
        <v>467</v>
      </c>
      <c r="AR205" t="s">
        <v>467</v>
      </c>
      <c r="AU205" t="s">
        <v>565</v>
      </c>
      <c r="AW205" t="s">
        <v>809</v>
      </c>
      <c r="AX205" t="s">
        <v>913</v>
      </c>
    </row>
    <row r="206" spans="2:50">
      <c r="B206" t="s">
        <v>254</v>
      </c>
      <c r="E206" t="s">
        <v>382</v>
      </c>
      <c r="M206">
        <v>30.01</v>
      </c>
      <c r="N206" t="s">
        <v>459</v>
      </c>
      <c r="O206" t="s">
        <v>463</v>
      </c>
      <c r="P206">
        <v>37.1</v>
      </c>
      <c r="Q206">
        <v>7.09</v>
      </c>
      <c r="R206" t="s">
        <v>467</v>
      </c>
      <c r="S206" t="s">
        <v>449</v>
      </c>
      <c r="V206">
        <v>36.69</v>
      </c>
      <c r="W206" t="s">
        <v>469</v>
      </c>
      <c r="X206" t="s">
        <v>470</v>
      </c>
      <c r="Y206">
        <v>36.3</v>
      </c>
      <c r="Z206">
        <v>0.3900000000000006</v>
      </c>
      <c r="AA206" t="s">
        <v>467</v>
      </c>
      <c r="AB206" t="s">
        <v>474</v>
      </c>
      <c r="AC206" t="s">
        <v>476</v>
      </c>
      <c r="AD206" t="s">
        <v>490</v>
      </c>
      <c r="AF206">
        <v>41.68</v>
      </c>
      <c r="AG206" t="s">
        <v>504</v>
      </c>
      <c r="AH206" t="s">
        <v>506</v>
      </c>
      <c r="AI206">
        <v>40.4</v>
      </c>
      <c r="AJ206">
        <v>1.280000000000001</v>
      </c>
      <c r="AK206" t="s">
        <v>467</v>
      </c>
      <c r="AR206" t="s">
        <v>467</v>
      </c>
      <c r="AS206" t="s">
        <v>563</v>
      </c>
      <c r="AU206" t="s">
        <v>566</v>
      </c>
      <c r="AV206" s="1" t="s">
        <v>769</v>
      </c>
      <c r="AW206" t="s">
        <v>808</v>
      </c>
      <c r="AX206" t="s">
        <v>867</v>
      </c>
    </row>
    <row r="207" spans="2:50">
      <c r="B207" t="s">
        <v>255</v>
      </c>
      <c r="E207" t="s">
        <v>424</v>
      </c>
      <c r="M207">
        <v>40.17</v>
      </c>
      <c r="N207" t="s">
        <v>460</v>
      </c>
      <c r="O207" t="s">
        <v>462</v>
      </c>
      <c r="P207">
        <v>38.2</v>
      </c>
      <c r="Q207">
        <v>1.969999999999999</v>
      </c>
      <c r="R207" t="s">
        <v>467</v>
      </c>
      <c r="S207" t="s">
        <v>449</v>
      </c>
      <c r="V207">
        <v>34.97</v>
      </c>
      <c r="W207" t="s">
        <v>469</v>
      </c>
      <c r="X207" t="s">
        <v>463</v>
      </c>
      <c r="Y207">
        <v>35</v>
      </c>
      <c r="Z207">
        <v>0.03000000000000114</v>
      </c>
      <c r="AA207" t="s">
        <v>467</v>
      </c>
      <c r="AD207" t="s">
        <v>491</v>
      </c>
      <c r="AF207">
        <v>38.16</v>
      </c>
      <c r="AG207" t="s">
        <v>497</v>
      </c>
      <c r="AH207" t="s">
        <v>505</v>
      </c>
      <c r="AI207">
        <v>38.3</v>
      </c>
      <c r="AJ207">
        <v>0.1400000000000006</v>
      </c>
      <c r="AK207" t="s">
        <v>467</v>
      </c>
      <c r="AM207">
        <v>40.03</v>
      </c>
      <c r="AN207" t="s">
        <v>458</v>
      </c>
      <c r="AO207" t="s">
        <v>515</v>
      </c>
      <c r="AP207">
        <v>37.7</v>
      </c>
      <c r="AQ207">
        <v>2.329999999999998</v>
      </c>
      <c r="AR207" t="s">
        <v>467</v>
      </c>
      <c r="AS207" t="s">
        <v>564</v>
      </c>
      <c r="AU207" t="s">
        <v>565</v>
      </c>
      <c r="AV207" s="1" t="s">
        <v>770</v>
      </c>
      <c r="AW207" t="s">
        <v>808</v>
      </c>
      <c r="AX207" t="s">
        <v>853</v>
      </c>
    </row>
    <row r="208" spans="2:50">
      <c r="B208" t="s">
        <v>256</v>
      </c>
      <c r="J208" t="s">
        <v>449</v>
      </c>
      <c r="K208" t="s">
        <v>450</v>
      </c>
      <c r="L208">
        <v>100</v>
      </c>
      <c r="R208" t="s">
        <v>467</v>
      </c>
      <c r="T208" t="s">
        <v>468</v>
      </c>
      <c r="U208">
        <v>2</v>
      </c>
      <c r="V208">
        <v>41.29</v>
      </c>
      <c r="W208" t="s">
        <v>469</v>
      </c>
      <c r="X208" t="s">
        <v>470</v>
      </c>
      <c r="Y208">
        <v>36.3</v>
      </c>
      <c r="Z208">
        <v>4.990000000000002</v>
      </c>
      <c r="AA208" t="s">
        <v>467</v>
      </c>
      <c r="AB208" t="s">
        <v>472</v>
      </c>
      <c r="AD208" t="s">
        <v>478</v>
      </c>
      <c r="AF208">
        <v>38.39</v>
      </c>
      <c r="AG208" t="s">
        <v>504</v>
      </c>
      <c r="AH208" t="s">
        <v>497</v>
      </c>
      <c r="AI208">
        <v>38.3</v>
      </c>
      <c r="AJ208">
        <v>0.09000000000000341</v>
      </c>
      <c r="AK208" t="s">
        <v>467</v>
      </c>
      <c r="AR208" t="s">
        <v>467</v>
      </c>
      <c r="AS208" t="s">
        <v>449</v>
      </c>
      <c r="AT208">
        <v>3</v>
      </c>
      <c r="AU208" t="s">
        <v>565</v>
      </c>
      <c r="AV208" s="1" t="s">
        <v>771</v>
      </c>
      <c r="AW208" t="s">
        <v>808</v>
      </c>
    </row>
    <row r="209" spans="2:50">
      <c r="B209" t="s">
        <v>257</v>
      </c>
      <c r="E209" t="s">
        <v>325</v>
      </c>
      <c r="J209" t="s">
        <v>449</v>
      </c>
      <c r="K209" t="s">
        <v>450</v>
      </c>
      <c r="L209">
        <v>100</v>
      </c>
      <c r="M209">
        <v>33.77</v>
      </c>
      <c r="N209" t="s">
        <v>461</v>
      </c>
      <c r="O209" t="s">
        <v>463</v>
      </c>
      <c r="P209">
        <v>37.1</v>
      </c>
      <c r="Q209">
        <v>3.329999999999998</v>
      </c>
      <c r="R209" t="s">
        <v>467</v>
      </c>
      <c r="T209" t="s">
        <v>450</v>
      </c>
      <c r="U209">
        <v>100</v>
      </c>
      <c r="V209">
        <v>38.31</v>
      </c>
      <c r="W209" t="s">
        <v>469</v>
      </c>
      <c r="X209" t="s">
        <v>470</v>
      </c>
      <c r="Y209">
        <v>36.3</v>
      </c>
      <c r="Z209">
        <v>2.010000000000005</v>
      </c>
      <c r="AA209" t="s">
        <v>467</v>
      </c>
      <c r="AD209" t="s">
        <v>489</v>
      </c>
      <c r="AF209">
        <v>31.79</v>
      </c>
      <c r="AG209" t="s">
        <v>504</v>
      </c>
      <c r="AH209" t="s">
        <v>505</v>
      </c>
      <c r="AI209">
        <v>38.3</v>
      </c>
      <c r="AJ209">
        <v>6.509999999999998</v>
      </c>
      <c r="AK209" t="s">
        <v>467</v>
      </c>
      <c r="AR209" t="s">
        <v>467</v>
      </c>
      <c r="AS209" t="s">
        <v>563</v>
      </c>
      <c r="AU209" t="s">
        <v>565</v>
      </c>
      <c r="AW209" t="s">
        <v>809</v>
      </c>
      <c r="AX209" t="s">
        <v>914</v>
      </c>
    </row>
    <row r="210" spans="2:50">
      <c r="B210" t="s">
        <v>258</v>
      </c>
      <c r="K210" t="s">
        <v>450</v>
      </c>
      <c r="L210">
        <v>100</v>
      </c>
      <c r="M210">
        <v>43.68</v>
      </c>
      <c r="N210" t="s">
        <v>461</v>
      </c>
      <c r="O210" t="s">
        <v>462</v>
      </c>
      <c r="P210">
        <v>38.2</v>
      </c>
      <c r="Q210">
        <v>5.479999999999997</v>
      </c>
      <c r="R210" t="s">
        <v>467</v>
      </c>
      <c r="T210" t="s">
        <v>451</v>
      </c>
      <c r="U210">
        <v>90</v>
      </c>
      <c r="AA210" t="s">
        <v>467</v>
      </c>
      <c r="AB210" t="s">
        <v>472</v>
      </c>
      <c r="AD210" t="s">
        <v>480</v>
      </c>
      <c r="AK210" t="s">
        <v>467</v>
      </c>
      <c r="AM210">
        <v>37.99</v>
      </c>
      <c r="AN210" t="s">
        <v>460</v>
      </c>
      <c r="AO210" t="s">
        <v>515</v>
      </c>
      <c r="AP210">
        <v>37.7</v>
      </c>
      <c r="AQ210">
        <v>0.2899999999999991</v>
      </c>
      <c r="AR210" t="s">
        <v>467</v>
      </c>
      <c r="AS210" t="s">
        <v>449</v>
      </c>
      <c r="AU210" t="s">
        <v>565</v>
      </c>
      <c r="AV210" s="1" t="s">
        <v>772</v>
      </c>
      <c r="AW210" t="s">
        <v>808</v>
      </c>
    </row>
    <row r="211" spans="2:50">
      <c r="B211" t="s">
        <v>259</v>
      </c>
      <c r="E211" t="s">
        <v>425</v>
      </c>
      <c r="K211" t="s">
        <v>450</v>
      </c>
      <c r="L211">
        <v>100</v>
      </c>
      <c r="M211">
        <v>38.73</v>
      </c>
      <c r="N211" t="s">
        <v>461</v>
      </c>
      <c r="O211" t="s">
        <v>462</v>
      </c>
      <c r="P211">
        <v>38.2</v>
      </c>
      <c r="Q211">
        <v>0.529999999999994</v>
      </c>
      <c r="R211" t="s">
        <v>467</v>
      </c>
      <c r="T211" t="s">
        <v>468</v>
      </c>
      <c r="U211">
        <v>1</v>
      </c>
      <c r="V211">
        <v>38.86</v>
      </c>
      <c r="W211" t="s">
        <v>461</v>
      </c>
      <c r="X211" t="s">
        <v>470</v>
      </c>
      <c r="Y211">
        <v>36.3</v>
      </c>
      <c r="Z211">
        <v>2.560000000000002</v>
      </c>
      <c r="AA211" t="s">
        <v>467</v>
      </c>
      <c r="AF211">
        <v>38.88</v>
      </c>
      <c r="AG211" t="s">
        <v>497</v>
      </c>
      <c r="AH211" t="s">
        <v>497</v>
      </c>
      <c r="AI211">
        <v>38.3</v>
      </c>
      <c r="AJ211">
        <v>0.5800000000000054</v>
      </c>
      <c r="AK211" t="s">
        <v>467</v>
      </c>
      <c r="AR211" t="s">
        <v>467</v>
      </c>
      <c r="AU211" t="s">
        <v>565</v>
      </c>
      <c r="AW211" t="s">
        <v>809</v>
      </c>
      <c r="AX211" t="s">
        <v>915</v>
      </c>
    </row>
    <row r="212" spans="2:50">
      <c r="B212" t="s">
        <v>260</v>
      </c>
      <c r="E212" t="s">
        <v>426</v>
      </c>
      <c r="M212">
        <v>42.58</v>
      </c>
      <c r="N212" t="s">
        <v>461</v>
      </c>
      <c r="O212" t="s">
        <v>462</v>
      </c>
      <c r="P212">
        <v>38.2</v>
      </c>
      <c r="Q212">
        <v>4.379999999999995</v>
      </c>
      <c r="R212" t="s">
        <v>467</v>
      </c>
      <c r="S212" t="s">
        <v>449</v>
      </c>
      <c r="V212">
        <v>38.86</v>
      </c>
      <c r="W212" t="s">
        <v>460</v>
      </c>
      <c r="X212" t="s">
        <v>470</v>
      </c>
      <c r="Y212">
        <v>36.3</v>
      </c>
      <c r="Z212">
        <v>2.560000000000002</v>
      </c>
      <c r="AA212" t="s">
        <v>466</v>
      </c>
      <c r="AD212" t="s">
        <v>489</v>
      </c>
      <c r="AF212">
        <v>30.35</v>
      </c>
      <c r="AG212" t="s">
        <v>504</v>
      </c>
      <c r="AH212" t="s">
        <v>505</v>
      </c>
      <c r="AI212">
        <v>38.3</v>
      </c>
      <c r="AJ212">
        <v>7.949999999999996</v>
      </c>
      <c r="AK212" t="s">
        <v>467</v>
      </c>
      <c r="AM212">
        <v>41.69</v>
      </c>
      <c r="AN212" t="s">
        <v>507</v>
      </c>
      <c r="AO212" t="s">
        <v>515</v>
      </c>
      <c r="AP212">
        <v>37.7</v>
      </c>
      <c r="AQ212">
        <v>3.989999999999995</v>
      </c>
      <c r="AR212" t="s">
        <v>467</v>
      </c>
      <c r="AS212" t="s">
        <v>563</v>
      </c>
      <c r="AU212" t="s">
        <v>566</v>
      </c>
      <c r="AV212" s="1" t="s">
        <v>773</v>
      </c>
      <c r="AW212" t="s">
        <v>808</v>
      </c>
      <c r="AX212" t="s">
        <v>916</v>
      </c>
    </row>
    <row r="213" spans="2:50">
      <c r="B213" t="s">
        <v>261</v>
      </c>
      <c r="E213" t="s">
        <v>427</v>
      </c>
      <c r="R213" t="s">
        <v>467</v>
      </c>
      <c r="S213" t="s">
        <v>449</v>
      </c>
      <c r="AA213" t="s">
        <v>467</v>
      </c>
      <c r="AD213" t="s">
        <v>492</v>
      </c>
      <c r="AF213">
        <v>37.63</v>
      </c>
      <c r="AG213" t="s">
        <v>504</v>
      </c>
      <c r="AH213" t="s">
        <v>505</v>
      </c>
      <c r="AI213">
        <v>38.3</v>
      </c>
      <c r="AJ213">
        <v>0.6699999999999946</v>
      </c>
      <c r="AK213" t="s">
        <v>467</v>
      </c>
      <c r="AR213" t="s">
        <v>467</v>
      </c>
      <c r="AS213" t="s">
        <v>564</v>
      </c>
      <c r="AU213" t="s">
        <v>565</v>
      </c>
      <c r="AW213" t="s">
        <v>809</v>
      </c>
      <c r="AX213" t="s">
        <v>880</v>
      </c>
    </row>
    <row r="214" spans="2:50">
      <c r="B214" t="s">
        <v>262</v>
      </c>
      <c r="K214" t="s">
        <v>450</v>
      </c>
      <c r="L214">
        <v>100</v>
      </c>
      <c r="M214">
        <v>30.62</v>
      </c>
      <c r="N214" t="s">
        <v>461</v>
      </c>
      <c r="O214" t="s">
        <v>463</v>
      </c>
      <c r="P214">
        <v>37.1</v>
      </c>
      <c r="Q214">
        <v>6.48</v>
      </c>
      <c r="R214" t="s">
        <v>467</v>
      </c>
      <c r="T214" t="s">
        <v>468</v>
      </c>
      <c r="U214">
        <v>2</v>
      </c>
      <c r="V214">
        <v>37.79</v>
      </c>
      <c r="W214" t="s">
        <v>458</v>
      </c>
      <c r="X214" t="s">
        <v>470</v>
      </c>
      <c r="Y214">
        <v>36.3</v>
      </c>
      <c r="Z214">
        <v>1.490000000000002</v>
      </c>
      <c r="AA214" t="s">
        <v>467</v>
      </c>
      <c r="AB214" t="s">
        <v>472</v>
      </c>
      <c r="AD214" t="s">
        <v>478</v>
      </c>
      <c r="AF214">
        <v>40.54</v>
      </c>
      <c r="AG214" t="s">
        <v>503</v>
      </c>
      <c r="AH214" t="s">
        <v>506</v>
      </c>
      <c r="AI214">
        <v>40.4</v>
      </c>
      <c r="AJ214">
        <v>0.1400000000000006</v>
      </c>
      <c r="AK214" t="s">
        <v>466</v>
      </c>
      <c r="AM214">
        <v>42.29</v>
      </c>
      <c r="AN214" t="s">
        <v>461</v>
      </c>
      <c r="AO214" t="s">
        <v>515</v>
      </c>
      <c r="AP214">
        <v>37.7</v>
      </c>
      <c r="AQ214">
        <v>4.589999999999996</v>
      </c>
      <c r="AR214" t="s">
        <v>467</v>
      </c>
      <c r="AS214" t="s">
        <v>449</v>
      </c>
      <c r="AT214">
        <v>3</v>
      </c>
      <c r="AU214" t="s">
        <v>565</v>
      </c>
      <c r="AV214" s="1" t="s">
        <v>774</v>
      </c>
      <c r="AW214" t="s">
        <v>808</v>
      </c>
    </row>
    <row r="215" spans="2:50">
      <c r="B215" t="s">
        <v>263</v>
      </c>
      <c r="E215" t="s">
        <v>325</v>
      </c>
      <c r="K215" t="s">
        <v>450</v>
      </c>
      <c r="L215">
        <v>100</v>
      </c>
      <c r="M215">
        <v>40.76</v>
      </c>
      <c r="N215" t="s">
        <v>460</v>
      </c>
      <c r="O215" t="s">
        <v>462</v>
      </c>
      <c r="P215">
        <v>38.2</v>
      </c>
      <c r="Q215">
        <v>2.559999999999995</v>
      </c>
      <c r="R215" t="s">
        <v>467</v>
      </c>
      <c r="T215" t="s">
        <v>450</v>
      </c>
      <c r="U215">
        <v>100</v>
      </c>
      <c r="V215">
        <v>40.6</v>
      </c>
      <c r="W215" t="s">
        <v>460</v>
      </c>
      <c r="X215" t="s">
        <v>470</v>
      </c>
      <c r="Y215">
        <v>36.3</v>
      </c>
      <c r="Z215">
        <v>4.300000000000004</v>
      </c>
      <c r="AA215" t="s">
        <v>467</v>
      </c>
      <c r="AB215" t="s">
        <v>474</v>
      </c>
      <c r="AC215" t="s">
        <v>476</v>
      </c>
      <c r="AD215" t="s">
        <v>490</v>
      </c>
      <c r="AF215">
        <v>33.25</v>
      </c>
      <c r="AG215" t="s">
        <v>504</v>
      </c>
      <c r="AH215" t="s">
        <v>505</v>
      </c>
      <c r="AI215">
        <v>38.3</v>
      </c>
      <c r="AJ215">
        <v>5.049999999999997</v>
      </c>
      <c r="AK215" t="s">
        <v>467</v>
      </c>
      <c r="AR215" t="s">
        <v>467</v>
      </c>
      <c r="AS215" t="s">
        <v>563</v>
      </c>
      <c r="AU215" t="s">
        <v>565</v>
      </c>
      <c r="AW215" t="s">
        <v>809</v>
      </c>
      <c r="AX215" t="s">
        <v>917</v>
      </c>
    </row>
    <row r="216" spans="2:50">
      <c r="B216" t="s">
        <v>264</v>
      </c>
      <c r="J216" t="s">
        <v>449</v>
      </c>
      <c r="K216" t="s">
        <v>450</v>
      </c>
      <c r="L216">
        <v>100</v>
      </c>
      <c r="M216">
        <v>36.57</v>
      </c>
      <c r="N216" t="s">
        <v>459</v>
      </c>
      <c r="O216" t="s">
        <v>463</v>
      </c>
      <c r="P216">
        <v>37.1</v>
      </c>
      <c r="Q216">
        <v>0.5300000000000011</v>
      </c>
      <c r="R216" t="s">
        <v>467</v>
      </c>
      <c r="T216" t="s">
        <v>451</v>
      </c>
      <c r="U216">
        <v>90</v>
      </c>
      <c r="V216">
        <v>38.98</v>
      </c>
      <c r="W216" t="s">
        <v>460</v>
      </c>
      <c r="X216" t="s">
        <v>470</v>
      </c>
      <c r="Y216">
        <v>36.3</v>
      </c>
      <c r="Z216">
        <v>2.68</v>
      </c>
      <c r="AA216" t="s">
        <v>467</v>
      </c>
      <c r="AB216" t="s">
        <v>472</v>
      </c>
      <c r="AD216" t="s">
        <v>480</v>
      </c>
      <c r="AF216">
        <v>32.64</v>
      </c>
      <c r="AG216" t="s">
        <v>504</v>
      </c>
      <c r="AH216" t="s">
        <v>505</v>
      </c>
      <c r="AI216">
        <v>38.3</v>
      </c>
      <c r="AJ216">
        <v>5.659999999999997</v>
      </c>
      <c r="AK216" t="s">
        <v>467</v>
      </c>
      <c r="AM216">
        <v>37.82</v>
      </c>
      <c r="AN216" t="s">
        <v>460</v>
      </c>
      <c r="AO216" t="s">
        <v>515</v>
      </c>
      <c r="AP216">
        <v>37.7</v>
      </c>
      <c r="AQ216">
        <v>0.1199999999999974</v>
      </c>
      <c r="AR216" t="s">
        <v>467</v>
      </c>
      <c r="AS216" t="s">
        <v>449</v>
      </c>
      <c r="AU216" t="s">
        <v>565</v>
      </c>
      <c r="AV216" s="1" t="s">
        <v>768</v>
      </c>
      <c r="AW216" t="s">
        <v>808</v>
      </c>
    </row>
    <row r="217" spans="2:50">
      <c r="B217" t="s">
        <v>265</v>
      </c>
      <c r="E217" t="s">
        <v>428</v>
      </c>
      <c r="K217" t="s">
        <v>450</v>
      </c>
      <c r="L217">
        <v>100</v>
      </c>
      <c r="M217">
        <v>44.14</v>
      </c>
      <c r="N217" t="s">
        <v>458</v>
      </c>
      <c r="O217" t="s">
        <v>462</v>
      </c>
      <c r="P217">
        <v>38.2</v>
      </c>
      <c r="Q217">
        <v>5.939999999999998</v>
      </c>
      <c r="R217" t="s">
        <v>467</v>
      </c>
      <c r="T217" t="s">
        <v>468</v>
      </c>
      <c r="U217">
        <v>1</v>
      </c>
      <c r="V217">
        <v>34.85</v>
      </c>
      <c r="W217" t="s">
        <v>461</v>
      </c>
      <c r="X217" t="s">
        <v>463</v>
      </c>
      <c r="Y217">
        <v>35</v>
      </c>
      <c r="Z217">
        <v>0.1499999999999986</v>
      </c>
      <c r="AA217" t="s">
        <v>467</v>
      </c>
      <c r="AK217" t="s">
        <v>467</v>
      </c>
      <c r="AR217" t="s">
        <v>467</v>
      </c>
      <c r="AU217" t="s">
        <v>565</v>
      </c>
      <c r="AV217" s="1" t="s">
        <v>775</v>
      </c>
      <c r="AW217" t="s">
        <v>808</v>
      </c>
      <c r="AX217" t="s">
        <v>918</v>
      </c>
    </row>
    <row r="218" spans="2:50">
      <c r="B218" t="s">
        <v>266</v>
      </c>
      <c r="E218" t="s">
        <v>429</v>
      </c>
      <c r="R218" t="s">
        <v>467</v>
      </c>
      <c r="S218" t="s">
        <v>449</v>
      </c>
      <c r="V218">
        <v>44.99</v>
      </c>
      <c r="W218" t="s">
        <v>461</v>
      </c>
      <c r="X218" t="s">
        <v>470</v>
      </c>
      <c r="Y218">
        <v>36.3</v>
      </c>
      <c r="Z218">
        <v>8.690000000000005</v>
      </c>
      <c r="AA218" t="s">
        <v>467</v>
      </c>
      <c r="AD218" t="s">
        <v>492</v>
      </c>
      <c r="AF218">
        <v>41.52</v>
      </c>
      <c r="AG218" t="s">
        <v>504</v>
      </c>
      <c r="AH218" t="s">
        <v>506</v>
      </c>
      <c r="AI218">
        <v>40.4</v>
      </c>
      <c r="AJ218">
        <v>1.120000000000005</v>
      </c>
      <c r="AK218" t="s">
        <v>467</v>
      </c>
      <c r="AR218" t="s">
        <v>467</v>
      </c>
      <c r="AS218" t="s">
        <v>563</v>
      </c>
      <c r="AU218" t="s">
        <v>566</v>
      </c>
      <c r="AW218" t="s">
        <v>809</v>
      </c>
      <c r="AX218" t="s">
        <v>825</v>
      </c>
    </row>
    <row r="219" spans="2:50">
      <c r="B219" t="s">
        <v>267</v>
      </c>
      <c r="E219" t="s">
        <v>430</v>
      </c>
      <c r="J219" t="s">
        <v>449</v>
      </c>
      <c r="M219">
        <v>30.15</v>
      </c>
      <c r="N219" t="s">
        <v>458</v>
      </c>
      <c r="O219" t="s">
        <v>463</v>
      </c>
      <c r="P219">
        <v>37.1</v>
      </c>
      <c r="Q219">
        <v>6.950000000000003</v>
      </c>
      <c r="R219" t="s">
        <v>467</v>
      </c>
      <c r="S219" t="s">
        <v>449</v>
      </c>
      <c r="AA219" t="s">
        <v>467</v>
      </c>
      <c r="AD219" t="s">
        <v>493</v>
      </c>
      <c r="AF219">
        <v>34.98</v>
      </c>
      <c r="AG219" t="s">
        <v>504</v>
      </c>
      <c r="AH219" t="s">
        <v>505</v>
      </c>
      <c r="AI219">
        <v>38.3</v>
      </c>
      <c r="AJ219">
        <v>3.32</v>
      </c>
      <c r="AK219" t="s">
        <v>467</v>
      </c>
      <c r="AM219">
        <v>36.65</v>
      </c>
      <c r="AN219" t="s">
        <v>460</v>
      </c>
      <c r="AO219" t="s">
        <v>557</v>
      </c>
      <c r="AP219">
        <v>36.3</v>
      </c>
      <c r="AQ219">
        <v>0.3500000000000014</v>
      </c>
      <c r="AR219" t="s">
        <v>467</v>
      </c>
      <c r="AS219" t="s">
        <v>564</v>
      </c>
      <c r="AU219" t="s">
        <v>565</v>
      </c>
      <c r="AV219" s="1" t="s">
        <v>776</v>
      </c>
      <c r="AW219" t="s">
        <v>808</v>
      </c>
      <c r="AX219" t="s">
        <v>859</v>
      </c>
    </row>
    <row r="220" spans="2:50">
      <c r="B220" t="s">
        <v>268</v>
      </c>
      <c r="K220" t="s">
        <v>450</v>
      </c>
      <c r="L220">
        <v>100</v>
      </c>
      <c r="R220" t="s">
        <v>467</v>
      </c>
      <c r="T220" t="s">
        <v>468</v>
      </c>
      <c r="U220">
        <v>2</v>
      </c>
      <c r="AA220" t="s">
        <v>467</v>
      </c>
      <c r="AB220" t="s">
        <v>472</v>
      </c>
      <c r="AD220" t="s">
        <v>478</v>
      </c>
      <c r="AF220">
        <v>38.22</v>
      </c>
      <c r="AG220" t="s">
        <v>503</v>
      </c>
      <c r="AH220" t="s">
        <v>505</v>
      </c>
      <c r="AI220">
        <v>38.3</v>
      </c>
      <c r="AJ220">
        <v>0.07999999999999829</v>
      </c>
      <c r="AK220" t="s">
        <v>466</v>
      </c>
      <c r="AM220">
        <v>33.38</v>
      </c>
      <c r="AN220" t="s">
        <v>507</v>
      </c>
      <c r="AO220" t="s">
        <v>510</v>
      </c>
      <c r="AP220">
        <v>35.1</v>
      </c>
      <c r="AQ220">
        <v>1.719999999999999</v>
      </c>
      <c r="AR220" t="s">
        <v>467</v>
      </c>
      <c r="AS220" t="s">
        <v>449</v>
      </c>
      <c r="AT220">
        <v>3</v>
      </c>
      <c r="AU220" t="s">
        <v>565</v>
      </c>
      <c r="AV220" s="1" t="s">
        <v>777</v>
      </c>
      <c r="AW220" t="s">
        <v>808</v>
      </c>
    </row>
    <row r="221" spans="2:50">
      <c r="B221" t="s">
        <v>269</v>
      </c>
      <c r="E221" t="s">
        <v>325</v>
      </c>
      <c r="J221" t="s">
        <v>449</v>
      </c>
      <c r="K221" t="s">
        <v>450</v>
      </c>
      <c r="L221">
        <v>100</v>
      </c>
      <c r="M221">
        <v>39.29</v>
      </c>
      <c r="N221" t="s">
        <v>461</v>
      </c>
      <c r="O221" t="s">
        <v>462</v>
      </c>
      <c r="P221">
        <v>38.2</v>
      </c>
      <c r="Q221">
        <v>1.089999999999996</v>
      </c>
      <c r="R221" t="s">
        <v>467</v>
      </c>
      <c r="T221" t="s">
        <v>450</v>
      </c>
      <c r="U221">
        <v>100</v>
      </c>
      <c r="V221">
        <v>43.09</v>
      </c>
      <c r="W221" t="s">
        <v>469</v>
      </c>
      <c r="X221" t="s">
        <v>470</v>
      </c>
      <c r="Y221">
        <v>36.3</v>
      </c>
      <c r="Z221">
        <v>6.790000000000006</v>
      </c>
      <c r="AA221" t="s">
        <v>467</v>
      </c>
      <c r="AD221" t="s">
        <v>493</v>
      </c>
      <c r="AK221" t="s">
        <v>467</v>
      </c>
      <c r="AM221">
        <v>35.04</v>
      </c>
      <c r="AN221" t="s">
        <v>458</v>
      </c>
      <c r="AO221" t="s">
        <v>510</v>
      </c>
      <c r="AP221">
        <v>35.1</v>
      </c>
      <c r="AQ221">
        <v>0.06000000000000227</v>
      </c>
      <c r="AR221" t="s">
        <v>467</v>
      </c>
      <c r="AS221" t="s">
        <v>563</v>
      </c>
      <c r="AU221" t="s">
        <v>565</v>
      </c>
      <c r="AV221" s="1" t="s">
        <v>778</v>
      </c>
      <c r="AW221" t="s">
        <v>808</v>
      </c>
      <c r="AX221" t="s">
        <v>919</v>
      </c>
    </row>
    <row r="222" spans="2:50">
      <c r="B222" t="s">
        <v>270</v>
      </c>
      <c r="K222" t="s">
        <v>450</v>
      </c>
      <c r="L222">
        <v>100</v>
      </c>
      <c r="M222">
        <v>39.17</v>
      </c>
      <c r="N222" t="s">
        <v>460</v>
      </c>
      <c r="O222" t="s">
        <v>462</v>
      </c>
      <c r="P222">
        <v>38.2</v>
      </c>
      <c r="Q222">
        <v>0.9699999999999989</v>
      </c>
      <c r="R222" t="s">
        <v>467</v>
      </c>
      <c r="T222" t="s">
        <v>451</v>
      </c>
      <c r="U222">
        <v>90</v>
      </c>
      <c r="V222">
        <v>42.44</v>
      </c>
      <c r="W222" t="s">
        <v>461</v>
      </c>
      <c r="X222" t="s">
        <v>470</v>
      </c>
      <c r="Y222">
        <v>36.3</v>
      </c>
      <c r="Z222">
        <v>6.140000000000001</v>
      </c>
      <c r="AA222" t="s">
        <v>467</v>
      </c>
      <c r="AB222" t="s">
        <v>472</v>
      </c>
      <c r="AD222" t="s">
        <v>480</v>
      </c>
      <c r="AK222" t="s">
        <v>467</v>
      </c>
      <c r="AR222" t="s">
        <v>467</v>
      </c>
      <c r="AS222" t="s">
        <v>449</v>
      </c>
      <c r="AU222" t="s">
        <v>565</v>
      </c>
      <c r="AV222" s="1" t="s">
        <v>767</v>
      </c>
      <c r="AW222" t="s">
        <v>808</v>
      </c>
    </row>
    <row r="223" spans="2:50">
      <c r="B223" t="s">
        <v>271</v>
      </c>
      <c r="E223" t="s">
        <v>431</v>
      </c>
      <c r="K223" t="s">
        <v>450</v>
      </c>
      <c r="L223">
        <v>100</v>
      </c>
      <c r="M223">
        <v>35.9</v>
      </c>
      <c r="N223" t="s">
        <v>459</v>
      </c>
      <c r="O223" t="s">
        <v>463</v>
      </c>
      <c r="P223">
        <v>37.1</v>
      </c>
      <c r="Q223">
        <v>1.200000000000003</v>
      </c>
      <c r="R223" t="s">
        <v>467</v>
      </c>
      <c r="T223" t="s">
        <v>468</v>
      </c>
      <c r="U223">
        <v>1</v>
      </c>
      <c r="V223">
        <v>31.49</v>
      </c>
      <c r="W223" t="s">
        <v>458</v>
      </c>
      <c r="X223" t="s">
        <v>463</v>
      </c>
      <c r="Y223">
        <v>35</v>
      </c>
      <c r="Z223">
        <v>3.510000000000002</v>
      </c>
      <c r="AA223" t="s">
        <v>467</v>
      </c>
      <c r="AK223" t="s">
        <v>467</v>
      </c>
      <c r="AM223">
        <v>35.37</v>
      </c>
      <c r="AN223" t="s">
        <v>458</v>
      </c>
      <c r="AO223" t="s">
        <v>543</v>
      </c>
      <c r="AP223">
        <v>35.1</v>
      </c>
      <c r="AQ223">
        <v>0.269999999999996</v>
      </c>
      <c r="AR223" t="s">
        <v>467</v>
      </c>
      <c r="AU223" t="s">
        <v>565</v>
      </c>
      <c r="AV223" s="1" t="s">
        <v>779</v>
      </c>
      <c r="AW223" t="s">
        <v>808</v>
      </c>
      <c r="AX223" t="s">
        <v>920</v>
      </c>
    </row>
    <row r="224" spans="2:50">
      <c r="B224" t="s">
        <v>272</v>
      </c>
      <c r="E224" t="s">
        <v>432</v>
      </c>
      <c r="M224">
        <v>40.78</v>
      </c>
      <c r="N224" t="s">
        <v>460</v>
      </c>
      <c r="O224" t="s">
        <v>462</v>
      </c>
      <c r="P224">
        <v>38.2</v>
      </c>
      <c r="Q224">
        <v>2.579999999999998</v>
      </c>
      <c r="R224" t="s">
        <v>467</v>
      </c>
      <c r="S224" t="s">
        <v>449</v>
      </c>
      <c r="V224">
        <v>38.33</v>
      </c>
      <c r="W224" t="s">
        <v>460</v>
      </c>
      <c r="X224" t="s">
        <v>470</v>
      </c>
      <c r="Y224">
        <v>36.3</v>
      </c>
      <c r="Z224">
        <v>2.030000000000001</v>
      </c>
      <c r="AA224" t="s">
        <v>466</v>
      </c>
      <c r="AD224" t="s">
        <v>489</v>
      </c>
      <c r="AF224">
        <v>31.44</v>
      </c>
      <c r="AG224" t="s">
        <v>504</v>
      </c>
      <c r="AH224" t="s">
        <v>505</v>
      </c>
      <c r="AI224">
        <v>38.3</v>
      </c>
      <c r="AJ224">
        <v>6.859999999999996</v>
      </c>
      <c r="AK224" t="s">
        <v>467</v>
      </c>
      <c r="AM224">
        <v>39.38</v>
      </c>
      <c r="AN224" t="s">
        <v>458</v>
      </c>
      <c r="AO224" t="s">
        <v>515</v>
      </c>
      <c r="AP224">
        <v>37.7</v>
      </c>
      <c r="AQ224">
        <v>1.68</v>
      </c>
      <c r="AR224" t="s">
        <v>467</v>
      </c>
      <c r="AS224" t="s">
        <v>563</v>
      </c>
      <c r="AU224" t="s">
        <v>566</v>
      </c>
      <c r="AV224" s="1" t="s">
        <v>780</v>
      </c>
      <c r="AW224" t="s">
        <v>808</v>
      </c>
      <c r="AX224" t="s">
        <v>921</v>
      </c>
    </row>
    <row r="225" spans="2:50">
      <c r="B225" t="s">
        <v>273</v>
      </c>
      <c r="E225" t="s">
        <v>433</v>
      </c>
      <c r="J225" t="s">
        <v>449</v>
      </c>
      <c r="R225" t="s">
        <v>467</v>
      </c>
      <c r="S225" t="s">
        <v>449</v>
      </c>
      <c r="AA225" t="s">
        <v>467</v>
      </c>
      <c r="AD225" t="s">
        <v>492</v>
      </c>
      <c r="AF225">
        <v>41.9</v>
      </c>
      <c r="AG225" t="s">
        <v>504</v>
      </c>
      <c r="AH225" t="s">
        <v>506</v>
      </c>
      <c r="AI225">
        <v>40.4</v>
      </c>
      <c r="AJ225">
        <v>1.5</v>
      </c>
      <c r="AK225" t="s">
        <v>467</v>
      </c>
      <c r="AM225">
        <v>42.54</v>
      </c>
      <c r="AN225" t="s">
        <v>507</v>
      </c>
      <c r="AO225" t="s">
        <v>515</v>
      </c>
      <c r="AP225">
        <v>37.7</v>
      </c>
      <c r="AQ225">
        <v>4.839999999999996</v>
      </c>
      <c r="AR225" t="s">
        <v>467</v>
      </c>
      <c r="AS225" t="s">
        <v>564</v>
      </c>
      <c r="AU225" t="s">
        <v>565</v>
      </c>
      <c r="AW225" t="s">
        <v>809</v>
      </c>
      <c r="AX225" t="s">
        <v>922</v>
      </c>
    </row>
    <row r="226" spans="2:50">
      <c r="B226" t="s">
        <v>274</v>
      </c>
      <c r="J226" t="s">
        <v>449</v>
      </c>
      <c r="K226" t="s">
        <v>450</v>
      </c>
      <c r="L226">
        <v>100</v>
      </c>
      <c r="M226">
        <v>43.47</v>
      </c>
      <c r="N226" t="s">
        <v>459</v>
      </c>
      <c r="O226" t="s">
        <v>462</v>
      </c>
      <c r="P226">
        <v>38.2</v>
      </c>
      <c r="Q226">
        <v>5.269999999999996</v>
      </c>
      <c r="R226" t="s">
        <v>467</v>
      </c>
      <c r="T226" t="s">
        <v>468</v>
      </c>
      <c r="U226">
        <v>2</v>
      </c>
      <c r="AA226" t="s">
        <v>467</v>
      </c>
      <c r="AB226" t="s">
        <v>472</v>
      </c>
      <c r="AD226" t="s">
        <v>478</v>
      </c>
      <c r="AK226" t="s">
        <v>467</v>
      </c>
      <c r="AM226">
        <v>35.16</v>
      </c>
      <c r="AN226" t="s">
        <v>507</v>
      </c>
      <c r="AO226" t="s">
        <v>518</v>
      </c>
      <c r="AP226">
        <v>35.1</v>
      </c>
      <c r="AQ226">
        <v>0.05999999999999517</v>
      </c>
      <c r="AR226" t="s">
        <v>467</v>
      </c>
      <c r="AS226" t="s">
        <v>449</v>
      </c>
      <c r="AT226">
        <v>3</v>
      </c>
      <c r="AU226" t="s">
        <v>565</v>
      </c>
      <c r="AV226" s="1" t="s">
        <v>781</v>
      </c>
      <c r="AW226" t="s">
        <v>808</v>
      </c>
    </row>
    <row r="227" spans="2:50">
      <c r="B227" t="s">
        <v>275</v>
      </c>
      <c r="E227" t="s">
        <v>325</v>
      </c>
      <c r="K227" t="s">
        <v>450</v>
      </c>
      <c r="L227">
        <v>100</v>
      </c>
      <c r="M227">
        <v>33.89</v>
      </c>
      <c r="N227" t="s">
        <v>459</v>
      </c>
      <c r="O227" t="s">
        <v>463</v>
      </c>
      <c r="P227">
        <v>37.1</v>
      </c>
      <c r="Q227">
        <v>3.210000000000001</v>
      </c>
      <c r="R227" t="s">
        <v>467</v>
      </c>
      <c r="T227" t="s">
        <v>450</v>
      </c>
      <c r="U227">
        <v>100</v>
      </c>
      <c r="V227">
        <v>43.18</v>
      </c>
      <c r="W227" t="s">
        <v>469</v>
      </c>
      <c r="X227" t="s">
        <v>470</v>
      </c>
      <c r="Y227">
        <v>36.3</v>
      </c>
      <c r="Z227">
        <v>6.880000000000003</v>
      </c>
      <c r="AA227" t="s">
        <v>467</v>
      </c>
      <c r="AD227" t="s">
        <v>491</v>
      </c>
      <c r="AK227" t="s">
        <v>467</v>
      </c>
      <c r="AM227">
        <v>38.85</v>
      </c>
      <c r="AN227" t="s">
        <v>461</v>
      </c>
      <c r="AO227" t="s">
        <v>515</v>
      </c>
      <c r="AP227">
        <v>37.7</v>
      </c>
      <c r="AQ227">
        <v>1.149999999999999</v>
      </c>
      <c r="AR227" t="s">
        <v>467</v>
      </c>
      <c r="AS227" t="s">
        <v>563</v>
      </c>
      <c r="AU227" t="s">
        <v>565</v>
      </c>
      <c r="AW227" t="s">
        <v>809</v>
      </c>
      <c r="AX227" t="s">
        <v>923</v>
      </c>
    </row>
    <row r="228" spans="2:50">
      <c r="B228" t="s">
        <v>276</v>
      </c>
      <c r="K228" t="s">
        <v>450</v>
      </c>
      <c r="L228">
        <v>100</v>
      </c>
      <c r="M228">
        <v>40.12</v>
      </c>
      <c r="N228" t="s">
        <v>458</v>
      </c>
      <c r="O228" t="s">
        <v>462</v>
      </c>
      <c r="P228">
        <v>38.2</v>
      </c>
      <c r="Q228">
        <v>1.919999999999995</v>
      </c>
      <c r="R228" t="s">
        <v>467</v>
      </c>
      <c r="T228" t="s">
        <v>451</v>
      </c>
      <c r="U228">
        <v>90</v>
      </c>
      <c r="AA228" t="s">
        <v>467</v>
      </c>
      <c r="AB228" t="s">
        <v>472</v>
      </c>
      <c r="AD228" t="s">
        <v>480</v>
      </c>
      <c r="AK228" t="s">
        <v>467</v>
      </c>
      <c r="AR228" t="s">
        <v>467</v>
      </c>
      <c r="AS228" t="s">
        <v>449</v>
      </c>
      <c r="AU228" t="s">
        <v>565</v>
      </c>
      <c r="AV228" s="1" t="s">
        <v>767</v>
      </c>
      <c r="AW228" t="s">
        <v>808</v>
      </c>
    </row>
    <row r="229" spans="2:50">
      <c r="B229" t="s">
        <v>277</v>
      </c>
      <c r="E229" t="s">
        <v>434</v>
      </c>
      <c r="K229" t="s">
        <v>450</v>
      </c>
      <c r="L229">
        <v>100</v>
      </c>
      <c r="M229">
        <v>40.27</v>
      </c>
      <c r="N229" t="s">
        <v>460</v>
      </c>
      <c r="O229" t="s">
        <v>462</v>
      </c>
      <c r="P229">
        <v>38.2</v>
      </c>
      <c r="Q229">
        <v>2.07</v>
      </c>
      <c r="R229" t="s">
        <v>467</v>
      </c>
      <c r="T229" t="s">
        <v>468</v>
      </c>
      <c r="U229">
        <v>1</v>
      </c>
      <c r="AA229" t="s">
        <v>467</v>
      </c>
      <c r="AK229" t="s">
        <v>467</v>
      </c>
      <c r="AM229">
        <v>40.16</v>
      </c>
      <c r="AN229" t="s">
        <v>458</v>
      </c>
      <c r="AO229" t="s">
        <v>515</v>
      </c>
      <c r="AP229">
        <v>37.7</v>
      </c>
      <c r="AQ229">
        <v>2.459999999999994</v>
      </c>
      <c r="AR229" t="s">
        <v>467</v>
      </c>
      <c r="AU229" t="s">
        <v>565</v>
      </c>
      <c r="AW229" t="s">
        <v>809</v>
      </c>
      <c r="AX229" t="s">
        <v>902</v>
      </c>
    </row>
    <row r="230" spans="2:50">
      <c r="B230" t="s">
        <v>278</v>
      </c>
      <c r="E230" t="s">
        <v>435</v>
      </c>
      <c r="R230" t="s">
        <v>467</v>
      </c>
      <c r="S230" t="s">
        <v>449</v>
      </c>
      <c r="AA230" t="s">
        <v>467</v>
      </c>
      <c r="AD230" t="s">
        <v>491</v>
      </c>
      <c r="AF230">
        <v>36.2</v>
      </c>
      <c r="AG230" t="s">
        <v>497</v>
      </c>
      <c r="AH230" t="s">
        <v>505</v>
      </c>
      <c r="AI230">
        <v>38.3</v>
      </c>
      <c r="AJ230">
        <v>2.099999999999994</v>
      </c>
      <c r="AK230" t="s">
        <v>467</v>
      </c>
      <c r="AR230" t="s">
        <v>467</v>
      </c>
      <c r="AS230" t="s">
        <v>563</v>
      </c>
      <c r="AU230" t="s">
        <v>566</v>
      </c>
      <c r="AW230" t="s">
        <v>809</v>
      </c>
      <c r="AX230" t="s">
        <v>924</v>
      </c>
    </row>
    <row r="231" spans="2:50">
      <c r="B231" t="s">
        <v>279</v>
      </c>
      <c r="E231" t="s">
        <v>436</v>
      </c>
      <c r="M231">
        <v>39.65</v>
      </c>
      <c r="N231" t="s">
        <v>461</v>
      </c>
      <c r="O231" t="s">
        <v>462</v>
      </c>
      <c r="P231">
        <v>38.2</v>
      </c>
      <c r="Q231">
        <v>1.449999999999996</v>
      </c>
      <c r="R231" t="s">
        <v>467</v>
      </c>
      <c r="S231" t="s">
        <v>449</v>
      </c>
      <c r="AA231" t="s">
        <v>467</v>
      </c>
      <c r="AD231" t="s">
        <v>494</v>
      </c>
      <c r="AF231">
        <v>35.86</v>
      </c>
      <c r="AG231" t="s">
        <v>504</v>
      </c>
      <c r="AH231" t="s">
        <v>505</v>
      </c>
      <c r="AI231">
        <v>38.3</v>
      </c>
      <c r="AJ231">
        <v>2.439999999999998</v>
      </c>
      <c r="AK231" t="s">
        <v>467</v>
      </c>
      <c r="AM231">
        <v>33.35</v>
      </c>
      <c r="AN231" t="s">
        <v>458</v>
      </c>
      <c r="AO231" t="s">
        <v>510</v>
      </c>
      <c r="AP231">
        <v>35.1</v>
      </c>
      <c r="AQ231">
        <v>1.75</v>
      </c>
      <c r="AR231" t="s">
        <v>467</v>
      </c>
      <c r="AS231" t="s">
        <v>564</v>
      </c>
      <c r="AU231" t="s">
        <v>565</v>
      </c>
      <c r="AW231" t="s">
        <v>809</v>
      </c>
      <c r="AX231" t="s">
        <v>828</v>
      </c>
    </row>
    <row r="232" spans="2:50">
      <c r="B232" t="s">
        <v>280</v>
      </c>
      <c r="K232" t="s">
        <v>450</v>
      </c>
      <c r="L232">
        <v>100</v>
      </c>
      <c r="M232">
        <v>31.4</v>
      </c>
      <c r="N232" t="s">
        <v>458</v>
      </c>
      <c r="O232" t="s">
        <v>463</v>
      </c>
      <c r="P232">
        <v>37.1</v>
      </c>
      <c r="Q232">
        <v>5.700000000000003</v>
      </c>
      <c r="R232" t="s">
        <v>467</v>
      </c>
      <c r="T232" t="s">
        <v>468</v>
      </c>
      <c r="U232">
        <v>2</v>
      </c>
      <c r="V232">
        <v>38.45</v>
      </c>
      <c r="W232" t="s">
        <v>460</v>
      </c>
      <c r="X232" t="s">
        <v>470</v>
      </c>
      <c r="Y232">
        <v>36.3</v>
      </c>
      <c r="Z232">
        <v>2.150000000000006</v>
      </c>
      <c r="AA232" t="s">
        <v>467</v>
      </c>
      <c r="AB232" t="s">
        <v>472</v>
      </c>
      <c r="AD232" t="s">
        <v>478</v>
      </c>
      <c r="AF232">
        <v>38.17</v>
      </c>
      <c r="AG232" t="s">
        <v>503</v>
      </c>
      <c r="AH232" t="s">
        <v>505</v>
      </c>
      <c r="AI232">
        <v>38.3</v>
      </c>
      <c r="AJ232">
        <v>0.1299999999999955</v>
      </c>
      <c r="AK232" t="s">
        <v>466</v>
      </c>
      <c r="AM232">
        <v>35.11</v>
      </c>
      <c r="AN232" t="s">
        <v>507</v>
      </c>
      <c r="AO232" t="s">
        <v>550</v>
      </c>
      <c r="AP232">
        <v>35.1</v>
      </c>
      <c r="AQ232">
        <v>0.00999999999999801</v>
      </c>
      <c r="AR232" t="s">
        <v>467</v>
      </c>
      <c r="AS232" t="s">
        <v>449</v>
      </c>
      <c r="AT232">
        <v>3</v>
      </c>
      <c r="AU232" t="s">
        <v>565</v>
      </c>
      <c r="AV232" s="1" t="s">
        <v>782</v>
      </c>
      <c r="AW232" t="s">
        <v>808</v>
      </c>
    </row>
    <row r="233" spans="2:50">
      <c r="B233" t="s">
        <v>281</v>
      </c>
      <c r="E233" t="s">
        <v>325</v>
      </c>
      <c r="K233" t="s">
        <v>450</v>
      </c>
      <c r="L233">
        <v>100</v>
      </c>
      <c r="M233">
        <v>31.22</v>
      </c>
      <c r="N233" t="s">
        <v>461</v>
      </c>
      <c r="O233" t="s">
        <v>463</v>
      </c>
      <c r="P233">
        <v>37.1</v>
      </c>
      <c r="Q233">
        <v>5.880000000000003</v>
      </c>
      <c r="R233" t="s">
        <v>467</v>
      </c>
      <c r="T233" t="s">
        <v>450</v>
      </c>
      <c r="U233">
        <v>100</v>
      </c>
      <c r="V233">
        <v>38.9</v>
      </c>
      <c r="W233" t="s">
        <v>461</v>
      </c>
      <c r="X233" t="s">
        <v>470</v>
      </c>
      <c r="Y233">
        <v>36.3</v>
      </c>
      <c r="Z233">
        <v>2.600000000000001</v>
      </c>
      <c r="AA233" t="s">
        <v>467</v>
      </c>
      <c r="AB233" t="s">
        <v>472</v>
      </c>
      <c r="AD233" t="s">
        <v>495</v>
      </c>
      <c r="AF233">
        <v>39.02</v>
      </c>
      <c r="AG233" t="s">
        <v>497</v>
      </c>
      <c r="AH233" t="s">
        <v>497</v>
      </c>
      <c r="AI233">
        <v>38.3</v>
      </c>
      <c r="AJ233">
        <v>0.720000000000006</v>
      </c>
      <c r="AK233" t="s">
        <v>465</v>
      </c>
      <c r="AR233" t="s">
        <v>467</v>
      </c>
      <c r="AS233" t="s">
        <v>563</v>
      </c>
      <c r="AU233" t="s">
        <v>565</v>
      </c>
      <c r="AV233" s="1" t="s">
        <v>767</v>
      </c>
      <c r="AW233" t="s">
        <v>808</v>
      </c>
      <c r="AX233" t="s">
        <v>925</v>
      </c>
    </row>
    <row r="234" spans="2:50">
      <c r="B234" t="s">
        <v>282</v>
      </c>
      <c r="K234" t="s">
        <v>450</v>
      </c>
      <c r="L234">
        <v>100</v>
      </c>
      <c r="M234">
        <v>40.08</v>
      </c>
      <c r="N234" t="s">
        <v>458</v>
      </c>
      <c r="O234" t="s">
        <v>462</v>
      </c>
      <c r="P234">
        <v>38.2</v>
      </c>
      <c r="Q234">
        <v>1.879999999999995</v>
      </c>
      <c r="R234" t="s">
        <v>467</v>
      </c>
      <c r="T234" t="s">
        <v>451</v>
      </c>
      <c r="U234">
        <v>90</v>
      </c>
      <c r="AA234" t="s">
        <v>467</v>
      </c>
      <c r="AB234" t="s">
        <v>472</v>
      </c>
      <c r="AD234" t="s">
        <v>480</v>
      </c>
      <c r="AF234">
        <v>38.11</v>
      </c>
      <c r="AG234" t="s">
        <v>504</v>
      </c>
      <c r="AH234" t="s">
        <v>505</v>
      </c>
      <c r="AI234">
        <v>38.3</v>
      </c>
      <c r="AJ234">
        <v>0.1899999999999977</v>
      </c>
      <c r="AK234" t="s">
        <v>467</v>
      </c>
      <c r="AR234" t="s">
        <v>467</v>
      </c>
      <c r="AS234" t="s">
        <v>449</v>
      </c>
      <c r="AU234" t="s">
        <v>565</v>
      </c>
      <c r="AV234" s="1" t="s">
        <v>783</v>
      </c>
      <c r="AW234" t="s">
        <v>808</v>
      </c>
    </row>
    <row r="235" spans="2:50">
      <c r="B235" t="s">
        <v>283</v>
      </c>
      <c r="E235" t="s">
        <v>437</v>
      </c>
      <c r="K235" t="s">
        <v>450</v>
      </c>
      <c r="L235">
        <v>100</v>
      </c>
      <c r="R235" t="s">
        <v>467</v>
      </c>
      <c r="T235" t="s">
        <v>468</v>
      </c>
      <c r="U235">
        <v>1</v>
      </c>
      <c r="V235">
        <v>39.05</v>
      </c>
      <c r="W235" t="s">
        <v>458</v>
      </c>
      <c r="X235" t="s">
        <v>470</v>
      </c>
      <c r="Y235">
        <v>36.3</v>
      </c>
      <c r="Z235">
        <v>2.75</v>
      </c>
      <c r="AA235" t="s">
        <v>467</v>
      </c>
      <c r="AF235">
        <v>41.94</v>
      </c>
      <c r="AG235" t="s">
        <v>504</v>
      </c>
      <c r="AH235" t="s">
        <v>506</v>
      </c>
      <c r="AI235">
        <v>40.4</v>
      </c>
      <c r="AJ235">
        <v>1.539999999999999</v>
      </c>
      <c r="AK235" t="s">
        <v>467</v>
      </c>
      <c r="AM235">
        <v>32.34</v>
      </c>
      <c r="AN235" t="s">
        <v>461</v>
      </c>
      <c r="AO235" t="s">
        <v>510</v>
      </c>
      <c r="AP235">
        <v>35.1</v>
      </c>
      <c r="AQ235">
        <v>2.759999999999998</v>
      </c>
      <c r="AR235" t="s">
        <v>467</v>
      </c>
      <c r="AU235" t="s">
        <v>565</v>
      </c>
      <c r="AW235" t="s">
        <v>809</v>
      </c>
      <c r="AX235" t="s">
        <v>926</v>
      </c>
    </row>
    <row r="236" spans="2:50">
      <c r="B236" t="s">
        <v>284</v>
      </c>
      <c r="E236" t="s">
        <v>438</v>
      </c>
      <c r="J236" t="s">
        <v>449</v>
      </c>
      <c r="M236">
        <v>38.39</v>
      </c>
      <c r="N236" t="s">
        <v>459</v>
      </c>
      <c r="O236" t="s">
        <v>462</v>
      </c>
      <c r="P236">
        <v>38.2</v>
      </c>
      <c r="Q236">
        <v>0.1899999999999977</v>
      </c>
      <c r="R236" t="s">
        <v>467</v>
      </c>
      <c r="S236" t="s">
        <v>449</v>
      </c>
      <c r="V236">
        <v>43.52</v>
      </c>
      <c r="W236" t="s">
        <v>469</v>
      </c>
      <c r="X236" t="s">
        <v>470</v>
      </c>
      <c r="Y236">
        <v>36.3</v>
      </c>
      <c r="Z236">
        <v>7.220000000000006</v>
      </c>
      <c r="AA236" t="s">
        <v>467</v>
      </c>
      <c r="AB236" t="s">
        <v>474</v>
      </c>
      <c r="AC236" t="s">
        <v>476</v>
      </c>
      <c r="AD236" t="s">
        <v>490</v>
      </c>
      <c r="AK236" t="s">
        <v>467</v>
      </c>
      <c r="AR236" t="s">
        <v>467</v>
      </c>
      <c r="AS236" t="s">
        <v>563</v>
      </c>
      <c r="AU236" t="s">
        <v>566</v>
      </c>
      <c r="AV236" s="1" t="s">
        <v>784</v>
      </c>
      <c r="AW236" t="s">
        <v>808</v>
      </c>
      <c r="AX236" t="s">
        <v>927</v>
      </c>
    </row>
    <row r="237" spans="2:50">
      <c r="B237" t="s">
        <v>285</v>
      </c>
      <c r="E237" t="s">
        <v>439</v>
      </c>
      <c r="M237">
        <v>32.69</v>
      </c>
      <c r="N237" t="s">
        <v>461</v>
      </c>
      <c r="O237" t="s">
        <v>463</v>
      </c>
      <c r="P237">
        <v>37.1</v>
      </c>
      <c r="Q237">
        <v>4.410000000000004</v>
      </c>
      <c r="R237" t="s">
        <v>467</v>
      </c>
      <c r="S237" t="s">
        <v>449</v>
      </c>
      <c r="AA237" t="s">
        <v>467</v>
      </c>
      <c r="AB237" t="s">
        <v>472</v>
      </c>
      <c r="AD237" t="s">
        <v>495</v>
      </c>
      <c r="AK237" t="s">
        <v>467</v>
      </c>
      <c r="AM237">
        <v>43.06</v>
      </c>
      <c r="AN237" t="s">
        <v>461</v>
      </c>
      <c r="AO237" t="s">
        <v>515</v>
      </c>
      <c r="AP237">
        <v>37.7</v>
      </c>
      <c r="AQ237">
        <v>5.359999999999999</v>
      </c>
      <c r="AR237" t="s">
        <v>467</v>
      </c>
      <c r="AS237" t="s">
        <v>564</v>
      </c>
      <c r="AU237" t="s">
        <v>565</v>
      </c>
      <c r="AV237" s="1" t="s">
        <v>767</v>
      </c>
      <c r="AW237" t="s">
        <v>808</v>
      </c>
      <c r="AX237" t="s">
        <v>918</v>
      </c>
    </row>
    <row r="238" spans="2:50">
      <c r="B238" t="s">
        <v>286</v>
      </c>
      <c r="J238" t="s">
        <v>449</v>
      </c>
      <c r="K238" t="s">
        <v>450</v>
      </c>
      <c r="L238">
        <v>100</v>
      </c>
      <c r="R238" t="s">
        <v>467</v>
      </c>
      <c r="T238" t="s">
        <v>468</v>
      </c>
      <c r="U238">
        <v>2</v>
      </c>
      <c r="V238">
        <v>39.71</v>
      </c>
      <c r="W238" t="s">
        <v>469</v>
      </c>
      <c r="X238" t="s">
        <v>470</v>
      </c>
      <c r="Y238">
        <v>36.3</v>
      </c>
      <c r="Z238">
        <v>3.410000000000004</v>
      </c>
      <c r="AA238" t="s">
        <v>467</v>
      </c>
      <c r="AB238" t="s">
        <v>472</v>
      </c>
      <c r="AD238" t="s">
        <v>478</v>
      </c>
      <c r="AF238">
        <v>35.93</v>
      </c>
      <c r="AG238" t="s">
        <v>504</v>
      </c>
      <c r="AH238" t="s">
        <v>505</v>
      </c>
      <c r="AI238">
        <v>38.3</v>
      </c>
      <c r="AJ238">
        <v>2.369999999999997</v>
      </c>
      <c r="AK238" t="s">
        <v>467</v>
      </c>
      <c r="AM238">
        <v>41.39</v>
      </c>
      <c r="AN238" t="s">
        <v>507</v>
      </c>
      <c r="AO238" t="s">
        <v>515</v>
      </c>
      <c r="AP238">
        <v>37.7</v>
      </c>
      <c r="AQ238">
        <v>3.689999999999998</v>
      </c>
      <c r="AR238" t="s">
        <v>467</v>
      </c>
      <c r="AS238" t="s">
        <v>449</v>
      </c>
      <c r="AT238">
        <v>3</v>
      </c>
      <c r="AU238" t="s">
        <v>565</v>
      </c>
      <c r="AV238" s="1" t="s">
        <v>767</v>
      </c>
      <c r="AW238" t="s">
        <v>808</v>
      </c>
    </row>
    <row r="239" spans="2:50">
      <c r="B239" t="s">
        <v>287</v>
      </c>
      <c r="E239" t="s">
        <v>325</v>
      </c>
      <c r="K239" t="s">
        <v>450</v>
      </c>
      <c r="L239">
        <v>100</v>
      </c>
      <c r="M239">
        <v>38.81</v>
      </c>
      <c r="N239" t="s">
        <v>458</v>
      </c>
      <c r="O239" t="s">
        <v>462</v>
      </c>
      <c r="P239">
        <v>38.2</v>
      </c>
      <c r="Q239">
        <v>0.6099999999999994</v>
      </c>
      <c r="R239" t="s">
        <v>467</v>
      </c>
      <c r="T239" t="s">
        <v>450</v>
      </c>
      <c r="U239">
        <v>100</v>
      </c>
      <c r="AA239" t="s">
        <v>467</v>
      </c>
      <c r="AD239" t="s">
        <v>491</v>
      </c>
      <c r="AF239">
        <v>40.95</v>
      </c>
      <c r="AG239" t="s">
        <v>504</v>
      </c>
      <c r="AH239" t="s">
        <v>506</v>
      </c>
      <c r="AI239">
        <v>40.4</v>
      </c>
      <c r="AJ239">
        <v>0.5500000000000043</v>
      </c>
      <c r="AK239" t="s">
        <v>467</v>
      </c>
      <c r="AM239">
        <v>35.57</v>
      </c>
      <c r="AN239" t="s">
        <v>461</v>
      </c>
      <c r="AO239" t="s">
        <v>509</v>
      </c>
      <c r="AP239">
        <v>35.1</v>
      </c>
      <c r="AQ239">
        <v>0.4699999999999989</v>
      </c>
      <c r="AR239" t="s">
        <v>467</v>
      </c>
      <c r="AS239" t="s">
        <v>563</v>
      </c>
      <c r="AU239" t="s">
        <v>565</v>
      </c>
      <c r="AV239" s="1" t="s">
        <v>785</v>
      </c>
      <c r="AW239" t="s">
        <v>808</v>
      </c>
      <c r="AX239" t="s">
        <v>854</v>
      </c>
    </row>
    <row r="240" spans="2:50">
      <c r="B240" t="s">
        <v>288</v>
      </c>
      <c r="K240" t="s">
        <v>450</v>
      </c>
      <c r="L240">
        <v>100</v>
      </c>
      <c r="R240" t="s">
        <v>467</v>
      </c>
      <c r="T240" t="s">
        <v>451</v>
      </c>
      <c r="U240">
        <v>90</v>
      </c>
      <c r="AA240" t="s">
        <v>467</v>
      </c>
      <c r="AB240" t="s">
        <v>472</v>
      </c>
      <c r="AD240" t="s">
        <v>480</v>
      </c>
      <c r="AK240" t="s">
        <v>467</v>
      </c>
      <c r="AR240" t="s">
        <v>467</v>
      </c>
      <c r="AS240" t="s">
        <v>449</v>
      </c>
      <c r="AU240" t="s">
        <v>565</v>
      </c>
      <c r="AV240" s="1" t="s">
        <v>767</v>
      </c>
      <c r="AW240" t="s">
        <v>808</v>
      </c>
    </row>
    <row r="241" spans="2:50">
      <c r="B241" t="s">
        <v>289</v>
      </c>
      <c r="E241" t="s">
        <v>440</v>
      </c>
      <c r="K241" t="s">
        <v>450</v>
      </c>
      <c r="L241">
        <v>100</v>
      </c>
      <c r="M241">
        <v>33.27</v>
      </c>
      <c r="N241" t="s">
        <v>459</v>
      </c>
      <c r="O241" t="s">
        <v>463</v>
      </c>
      <c r="P241">
        <v>37.1</v>
      </c>
      <c r="Q241">
        <v>3.829999999999998</v>
      </c>
      <c r="R241" t="s">
        <v>467</v>
      </c>
      <c r="T241" t="s">
        <v>468</v>
      </c>
      <c r="U241">
        <v>1</v>
      </c>
      <c r="V241">
        <v>35.98</v>
      </c>
      <c r="W241" t="s">
        <v>461</v>
      </c>
      <c r="X241" t="s">
        <v>471</v>
      </c>
      <c r="Y241">
        <v>36.3</v>
      </c>
      <c r="Z241">
        <v>0.3200000000000003</v>
      </c>
      <c r="AA241" t="s">
        <v>467</v>
      </c>
      <c r="AK241" t="s">
        <v>467</v>
      </c>
      <c r="AM241">
        <v>39.19</v>
      </c>
      <c r="AN241" t="s">
        <v>458</v>
      </c>
      <c r="AO241" t="s">
        <v>515</v>
      </c>
      <c r="AP241">
        <v>37.7</v>
      </c>
      <c r="AQ241">
        <v>1.489999999999995</v>
      </c>
      <c r="AR241" t="s">
        <v>467</v>
      </c>
      <c r="AU241" t="s">
        <v>565</v>
      </c>
      <c r="AV241" s="1" t="s">
        <v>786</v>
      </c>
      <c r="AW241" t="s">
        <v>808</v>
      </c>
      <c r="AX241" t="s">
        <v>928</v>
      </c>
    </row>
    <row r="242" spans="2:50">
      <c r="B242" t="s">
        <v>290</v>
      </c>
      <c r="E242" t="s">
        <v>441</v>
      </c>
      <c r="R242" t="s">
        <v>467</v>
      </c>
      <c r="S242" t="s">
        <v>449</v>
      </c>
      <c r="AA242" t="s">
        <v>467</v>
      </c>
      <c r="AD242" t="s">
        <v>489</v>
      </c>
      <c r="AK242" t="s">
        <v>467</v>
      </c>
      <c r="AM242">
        <v>34.71</v>
      </c>
      <c r="AN242" t="s">
        <v>458</v>
      </c>
      <c r="AO242" t="s">
        <v>510</v>
      </c>
      <c r="AP242">
        <v>35.1</v>
      </c>
      <c r="AQ242">
        <v>0.3900000000000006</v>
      </c>
      <c r="AR242" t="s">
        <v>467</v>
      </c>
      <c r="AS242" t="s">
        <v>563</v>
      </c>
      <c r="AU242" t="s">
        <v>566</v>
      </c>
      <c r="AV242" s="1" t="s">
        <v>787</v>
      </c>
      <c r="AW242" t="s">
        <v>808</v>
      </c>
      <c r="AX242" t="s">
        <v>886</v>
      </c>
    </row>
    <row r="243" spans="2:50">
      <c r="B243" t="s">
        <v>291</v>
      </c>
      <c r="E243" t="s">
        <v>442</v>
      </c>
      <c r="R243" t="s">
        <v>467</v>
      </c>
      <c r="S243" t="s">
        <v>449</v>
      </c>
      <c r="AA243" t="s">
        <v>467</v>
      </c>
      <c r="AD243" t="s">
        <v>492</v>
      </c>
      <c r="AF243">
        <v>41.85</v>
      </c>
      <c r="AG243" t="s">
        <v>504</v>
      </c>
      <c r="AH243" t="s">
        <v>506</v>
      </c>
      <c r="AI243">
        <v>40.4</v>
      </c>
      <c r="AJ243">
        <v>1.450000000000003</v>
      </c>
      <c r="AK243" t="s">
        <v>467</v>
      </c>
      <c r="AM243">
        <v>37.37</v>
      </c>
      <c r="AN243" t="s">
        <v>460</v>
      </c>
      <c r="AO243" t="s">
        <v>561</v>
      </c>
      <c r="AP243">
        <v>37.7</v>
      </c>
      <c r="AQ243">
        <v>0.3300000000000054</v>
      </c>
      <c r="AR243" t="s">
        <v>467</v>
      </c>
      <c r="AS243" t="s">
        <v>564</v>
      </c>
      <c r="AU243" t="s">
        <v>565</v>
      </c>
      <c r="AV243" s="1" t="s">
        <v>596</v>
      </c>
      <c r="AW243" t="s">
        <v>808</v>
      </c>
      <c r="AX243" t="s">
        <v>922</v>
      </c>
    </row>
    <row r="244" spans="2:50">
      <c r="B244" t="s">
        <v>292</v>
      </c>
      <c r="K244" t="s">
        <v>450</v>
      </c>
      <c r="L244">
        <v>100</v>
      </c>
      <c r="M244">
        <v>43.45</v>
      </c>
      <c r="N244" t="s">
        <v>459</v>
      </c>
      <c r="O244" t="s">
        <v>462</v>
      </c>
      <c r="P244">
        <v>38.2</v>
      </c>
      <c r="Q244">
        <v>5.25</v>
      </c>
      <c r="R244" t="s">
        <v>467</v>
      </c>
      <c r="T244" t="s">
        <v>468</v>
      </c>
      <c r="U244">
        <v>2</v>
      </c>
      <c r="V244">
        <v>34.12</v>
      </c>
      <c r="W244" t="s">
        <v>469</v>
      </c>
      <c r="X244" t="s">
        <v>463</v>
      </c>
      <c r="Y244">
        <v>35</v>
      </c>
      <c r="Z244">
        <v>0.8800000000000026</v>
      </c>
      <c r="AA244" t="s">
        <v>467</v>
      </c>
      <c r="AB244" t="s">
        <v>472</v>
      </c>
      <c r="AD244" t="s">
        <v>478</v>
      </c>
      <c r="AF244">
        <v>39.19</v>
      </c>
      <c r="AG244" t="s">
        <v>497</v>
      </c>
      <c r="AH244" t="s">
        <v>497</v>
      </c>
      <c r="AI244">
        <v>38.3</v>
      </c>
      <c r="AJ244">
        <v>0.8900000000000006</v>
      </c>
      <c r="AK244" t="s">
        <v>465</v>
      </c>
      <c r="AR244" t="s">
        <v>467</v>
      </c>
      <c r="AS244" t="s">
        <v>449</v>
      </c>
      <c r="AT244">
        <v>3</v>
      </c>
      <c r="AU244" t="s">
        <v>565</v>
      </c>
      <c r="AV244" s="1" t="s">
        <v>767</v>
      </c>
      <c r="AW244" t="s">
        <v>808</v>
      </c>
    </row>
    <row r="245" spans="2:50">
      <c r="B245" t="s">
        <v>293</v>
      </c>
      <c r="E245" t="s">
        <v>325</v>
      </c>
      <c r="K245" t="s">
        <v>450</v>
      </c>
      <c r="L245">
        <v>100</v>
      </c>
      <c r="M245">
        <v>40.84</v>
      </c>
      <c r="N245" t="s">
        <v>460</v>
      </c>
      <c r="O245" t="s">
        <v>462</v>
      </c>
      <c r="P245">
        <v>38.2</v>
      </c>
      <c r="Q245">
        <v>2.640000000000001</v>
      </c>
      <c r="R245" t="s">
        <v>467</v>
      </c>
      <c r="T245" t="s">
        <v>450</v>
      </c>
      <c r="U245">
        <v>100</v>
      </c>
      <c r="V245">
        <v>42.09</v>
      </c>
      <c r="W245" t="s">
        <v>458</v>
      </c>
      <c r="X245" t="s">
        <v>470</v>
      </c>
      <c r="Y245">
        <v>36.3</v>
      </c>
      <c r="Z245">
        <v>5.790000000000006</v>
      </c>
      <c r="AA245" t="s">
        <v>467</v>
      </c>
      <c r="AD245" t="s">
        <v>494</v>
      </c>
      <c r="AF245">
        <v>40.48</v>
      </c>
      <c r="AG245" t="s">
        <v>504</v>
      </c>
      <c r="AH245" t="s">
        <v>506</v>
      </c>
      <c r="AI245">
        <v>40.4</v>
      </c>
      <c r="AJ245">
        <v>0.07999999999999829</v>
      </c>
      <c r="AK245" t="s">
        <v>467</v>
      </c>
      <c r="AR245" t="s">
        <v>467</v>
      </c>
      <c r="AS245" t="s">
        <v>563</v>
      </c>
      <c r="AU245" t="s">
        <v>565</v>
      </c>
      <c r="AV245" s="1" t="s">
        <v>788</v>
      </c>
      <c r="AW245" t="s">
        <v>808</v>
      </c>
      <c r="AX245" t="s">
        <v>900</v>
      </c>
    </row>
    <row r="246" spans="2:50">
      <c r="B246" t="s">
        <v>294</v>
      </c>
      <c r="K246" t="s">
        <v>450</v>
      </c>
      <c r="L246">
        <v>100</v>
      </c>
      <c r="R246" t="s">
        <v>467</v>
      </c>
      <c r="T246" t="s">
        <v>451</v>
      </c>
      <c r="U246">
        <v>90</v>
      </c>
      <c r="V246">
        <v>42.62</v>
      </c>
      <c r="W246" t="s">
        <v>461</v>
      </c>
      <c r="X246" t="s">
        <v>470</v>
      </c>
      <c r="Y246">
        <v>36.3</v>
      </c>
      <c r="Z246">
        <v>6.32</v>
      </c>
      <c r="AA246" t="s">
        <v>467</v>
      </c>
      <c r="AB246" t="s">
        <v>472</v>
      </c>
      <c r="AD246" t="s">
        <v>480</v>
      </c>
      <c r="AF246">
        <v>40</v>
      </c>
      <c r="AG246" t="s">
        <v>504</v>
      </c>
      <c r="AH246" t="s">
        <v>497</v>
      </c>
      <c r="AI246">
        <v>40.4</v>
      </c>
      <c r="AJ246">
        <v>0.3999999999999986</v>
      </c>
      <c r="AK246" t="s">
        <v>467</v>
      </c>
      <c r="AR246" t="s">
        <v>467</v>
      </c>
      <c r="AS246" t="s">
        <v>449</v>
      </c>
      <c r="AU246" t="s">
        <v>565</v>
      </c>
      <c r="AV246" s="1" t="s">
        <v>789</v>
      </c>
      <c r="AW246" t="s">
        <v>808</v>
      </c>
    </row>
    <row r="247" spans="2:50">
      <c r="B247" t="s">
        <v>295</v>
      </c>
      <c r="E247" t="s">
        <v>401</v>
      </c>
      <c r="K247" t="s">
        <v>450</v>
      </c>
      <c r="L247">
        <v>100</v>
      </c>
      <c r="R247" t="s">
        <v>467</v>
      </c>
      <c r="T247" t="s">
        <v>468</v>
      </c>
      <c r="U247">
        <v>1</v>
      </c>
      <c r="AA247" t="s">
        <v>467</v>
      </c>
      <c r="AK247" t="s">
        <v>467</v>
      </c>
      <c r="AM247">
        <v>37.6</v>
      </c>
      <c r="AN247" t="s">
        <v>460</v>
      </c>
      <c r="AO247" t="s">
        <v>556</v>
      </c>
      <c r="AP247">
        <v>37.7</v>
      </c>
      <c r="AQ247">
        <v>0.1000000000000014</v>
      </c>
      <c r="AR247" t="s">
        <v>467</v>
      </c>
      <c r="AU247" t="s">
        <v>565</v>
      </c>
      <c r="AV247" s="1" t="s">
        <v>790</v>
      </c>
      <c r="AW247" t="s">
        <v>808</v>
      </c>
      <c r="AX247" t="s">
        <v>904</v>
      </c>
    </row>
    <row r="248" spans="2:50">
      <c r="B248" t="s">
        <v>296</v>
      </c>
      <c r="E248" t="s">
        <v>443</v>
      </c>
      <c r="J248" t="s">
        <v>449</v>
      </c>
      <c r="R248" t="s">
        <v>467</v>
      </c>
      <c r="S248" t="s">
        <v>449</v>
      </c>
      <c r="AA248" t="s">
        <v>467</v>
      </c>
      <c r="AD248" t="s">
        <v>493</v>
      </c>
      <c r="AF248">
        <v>39.3</v>
      </c>
      <c r="AG248" t="s">
        <v>497</v>
      </c>
      <c r="AH248" t="s">
        <v>497</v>
      </c>
      <c r="AI248">
        <v>38.3</v>
      </c>
      <c r="AJ248">
        <v>1</v>
      </c>
      <c r="AK248" t="s">
        <v>467</v>
      </c>
      <c r="AM248">
        <v>35.19</v>
      </c>
      <c r="AN248" t="s">
        <v>458</v>
      </c>
      <c r="AO248" t="s">
        <v>518</v>
      </c>
      <c r="AP248">
        <v>35.1</v>
      </c>
      <c r="AQ248">
        <v>0.08999999999999631</v>
      </c>
      <c r="AR248" t="s">
        <v>467</v>
      </c>
      <c r="AS248" t="s">
        <v>563</v>
      </c>
      <c r="AU248" t="s">
        <v>566</v>
      </c>
      <c r="AV248" s="1" t="s">
        <v>791</v>
      </c>
      <c r="AW248" t="s">
        <v>808</v>
      </c>
      <c r="AX248" t="s">
        <v>861</v>
      </c>
    </row>
    <row r="249" spans="2:50">
      <c r="B249" t="s">
        <v>297</v>
      </c>
      <c r="E249" t="s">
        <v>388</v>
      </c>
      <c r="R249" t="s">
        <v>467</v>
      </c>
      <c r="S249" t="s">
        <v>449</v>
      </c>
      <c r="V249">
        <v>44.61</v>
      </c>
      <c r="W249" t="s">
        <v>461</v>
      </c>
      <c r="X249" t="s">
        <v>470</v>
      </c>
      <c r="Y249">
        <v>36.3</v>
      </c>
      <c r="Z249">
        <v>8.310000000000002</v>
      </c>
      <c r="AA249" t="s">
        <v>467</v>
      </c>
      <c r="AD249" t="s">
        <v>494</v>
      </c>
      <c r="AF249">
        <v>37.91</v>
      </c>
      <c r="AG249" t="s">
        <v>497</v>
      </c>
      <c r="AH249" t="s">
        <v>505</v>
      </c>
      <c r="AI249">
        <v>38.3</v>
      </c>
      <c r="AJ249">
        <v>0.3900000000000006</v>
      </c>
      <c r="AK249" t="s">
        <v>467</v>
      </c>
      <c r="AM249">
        <v>37.33</v>
      </c>
      <c r="AN249" t="s">
        <v>461</v>
      </c>
      <c r="AO249" t="s">
        <v>529</v>
      </c>
      <c r="AP249">
        <v>37</v>
      </c>
      <c r="AQ249">
        <v>0.3299999999999983</v>
      </c>
      <c r="AR249" t="s">
        <v>467</v>
      </c>
      <c r="AS249" t="s">
        <v>564</v>
      </c>
      <c r="AT249">
        <v>0</v>
      </c>
      <c r="AU249" t="s">
        <v>565</v>
      </c>
      <c r="AV249" s="1" t="s">
        <v>792</v>
      </c>
      <c r="AW249" t="s">
        <v>808</v>
      </c>
      <c r="AX249" t="s">
        <v>929</v>
      </c>
    </row>
    <row r="250" spans="2:50">
      <c r="B250" t="s">
        <v>298</v>
      </c>
      <c r="K250" t="s">
        <v>450</v>
      </c>
      <c r="L250">
        <v>100</v>
      </c>
      <c r="M250">
        <v>41.71</v>
      </c>
      <c r="N250" t="s">
        <v>461</v>
      </c>
      <c r="O250" t="s">
        <v>462</v>
      </c>
      <c r="P250">
        <v>38.2</v>
      </c>
      <c r="Q250">
        <v>3.509999999999998</v>
      </c>
      <c r="R250" t="s">
        <v>467</v>
      </c>
      <c r="T250" t="s">
        <v>468</v>
      </c>
      <c r="U250">
        <v>2</v>
      </c>
      <c r="V250">
        <v>42.54</v>
      </c>
      <c r="W250" t="s">
        <v>458</v>
      </c>
      <c r="X250" t="s">
        <v>470</v>
      </c>
      <c r="Y250">
        <v>36.3</v>
      </c>
      <c r="Z250">
        <v>6.240000000000002</v>
      </c>
      <c r="AA250" t="s">
        <v>467</v>
      </c>
      <c r="AB250" t="s">
        <v>472</v>
      </c>
      <c r="AD250" t="s">
        <v>478</v>
      </c>
      <c r="AF250">
        <v>33.37</v>
      </c>
      <c r="AG250" t="s">
        <v>504</v>
      </c>
      <c r="AH250" t="s">
        <v>505</v>
      </c>
      <c r="AI250">
        <v>38.3</v>
      </c>
      <c r="AJ250">
        <v>4.93</v>
      </c>
      <c r="AK250" t="s">
        <v>467</v>
      </c>
      <c r="AM250">
        <v>38.07</v>
      </c>
      <c r="AN250" t="s">
        <v>458</v>
      </c>
      <c r="AO250" t="s">
        <v>515</v>
      </c>
      <c r="AP250">
        <v>37.7</v>
      </c>
      <c r="AQ250">
        <v>0.3699999999999974</v>
      </c>
      <c r="AR250" t="s">
        <v>467</v>
      </c>
      <c r="AS250" t="s">
        <v>449</v>
      </c>
      <c r="AT250">
        <v>3</v>
      </c>
      <c r="AU250" t="s">
        <v>565</v>
      </c>
      <c r="AV250" s="1" t="s">
        <v>793</v>
      </c>
      <c r="AW250" t="s">
        <v>808</v>
      </c>
    </row>
    <row r="251" spans="2:50">
      <c r="B251" t="s">
        <v>299</v>
      </c>
      <c r="E251" t="s">
        <v>325</v>
      </c>
      <c r="K251" t="s">
        <v>450</v>
      </c>
      <c r="L251">
        <v>100</v>
      </c>
      <c r="R251" t="s">
        <v>467</v>
      </c>
      <c r="T251" t="s">
        <v>450</v>
      </c>
      <c r="U251">
        <v>100</v>
      </c>
      <c r="AA251" t="s">
        <v>467</v>
      </c>
      <c r="AD251" t="s">
        <v>492</v>
      </c>
      <c r="AF251">
        <v>35.3</v>
      </c>
      <c r="AG251" t="s">
        <v>504</v>
      </c>
      <c r="AH251" t="s">
        <v>505</v>
      </c>
      <c r="AI251">
        <v>38.3</v>
      </c>
      <c r="AJ251">
        <v>3</v>
      </c>
      <c r="AK251" t="s">
        <v>467</v>
      </c>
      <c r="AM251">
        <v>40.95</v>
      </c>
      <c r="AN251" t="s">
        <v>461</v>
      </c>
      <c r="AO251" t="s">
        <v>515</v>
      </c>
      <c r="AP251">
        <v>37.7</v>
      </c>
      <c r="AQ251">
        <v>3.25</v>
      </c>
      <c r="AR251" t="s">
        <v>467</v>
      </c>
      <c r="AS251" t="s">
        <v>563</v>
      </c>
      <c r="AU251" t="s">
        <v>565</v>
      </c>
      <c r="AW251" t="s">
        <v>809</v>
      </c>
      <c r="AX251" t="s">
        <v>825</v>
      </c>
    </row>
    <row r="252" spans="2:50">
      <c r="B252" t="s">
        <v>300</v>
      </c>
      <c r="K252" t="s">
        <v>450</v>
      </c>
      <c r="L252">
        <v>100</v>
      </c>
      <c r="R252" t="s">
        <v>467</v>
      </c>
      <c r="T252" t="s">
        <v>451</v>
      </c>
      <c r="U252">
        <v>90</v>
      </c>
      <c r="AA252" t="s">
        <v>467</v>
      </c>
      <c r="AB252" t="s">
        <v>472</v>
      </c>
      <c r="AD252" t="s">
        <v>480</v>
      </c>
      <c r="AF252">
        <v>39.19</v>
      </c>
      <c r="AG252" t="s">
        <v>497</v>
      </c>
      <c r="AH252" t="s">
        <v>497</v>
      </c>
      <c r="AI252">
        <v>38.3</v>
      </c>
      <c r="AJ252">
        <v>0.8900000000000006</v>
      </c>
      <c r="AK252" t="s">
        <v>465</v>
      </c>
      <c r="AM252">
        <v>41.83</v>
      </c>
      <c r="AN252" t="s">
        <v>461</v>
      </c>
      <c r="AO252" t="s">
        <v>515</v>
      </c>
      <c r="AP252">
        <v>37.7</v>
      </c>
      <c r="AQ252">
        <v>4.129999999999995</v>
      </c>
      <c r="AR252" t="s">
        <v>467</v>
      </c>
      <c r="AS252" t="s">
        <v>449</v>
      </c>
      <c r="AU252" t="s">
        <v>565</v>
      </c>
      <c r="AV252" s="1" t="s">
        <v>767</v>
      </c>
      <c r="AW252" t="s">
        <v>808</v>
      </c>
    </row>
    <row r="253" spans="2:50">
      <c r="B253" t="s">
        <v>301</v>
      </c>
      <c r="E253" t="s">
        <v>344</v>
      </c>
      <c r="K253" t="s">
        <v>450</v>
      </c>
      <c r="L253">
        <v>100</v>
      </c>
      <c r="R253" t="s">
        <v>467</v>
      </c>
      <c r="T253" t="s">
        <v>468</v>
      </c>
      <c r="U253">
        <v>1</v>
      </c>
      <c r="AA253" t="s">
        <v>467</v>
      </c>
      <c r="AF253">
        <v>36.77</v>
      </c>
      <c r="AG253" t="s">
        <v>504</v>
      </c>
      <c r="AH253" t="s">
        <v>505</v>
      </c>
      <c r="AI253">
        <v>38.3</v>
      </c>
      <c r="AJ253">
        <v>1.529999999999994</v>
      </c>
      <c r="AK253" t="s">
        <v>467</v>
      </c>
      <c r="AM253">
        <v>37.27</v>
      </c>
      <c r="AN253" t="s">
        <v>460</v>
      </c>
      <c r="AO253" t="s">
        <v>553</v>
      </c>
      <c r="AP253">
        <v>37</v>
      </c>
      <c r="AQ253">
        <v>0.2700000000000031</v>
      </c>
      <c r="AR253" t="s">
        <v>467</v>
      </c>
      <c r="AU253" t="s">
        <v>565</v>
      </c>
      <c r="AV253" s="1" t="s">
        <v>779</v>
      </c>
      <c r="AW253" t="s">
        <v>808</v>
      </c>
      <c r="AX253" t="s">
        <v>882</v>
      </c>
    </row>
    <row r="254" spans="2:50">
      <c r="B254" t="s">
        <v>302</v>
      </c>
      <c r="E254" t="s">
        <v>398</v>
      </c>
      <c r="M254">
        <v>42.55</v>
      </c>
      <c r="N254" t="s">
        <v>461</v>
      </c>
      <c r="O254" t="s">
        <v>462</v>
      </c>
      <c r="P254">
        <v>38.2</v>
      </c>
      <c r="Q254">
        <v>4.349999999999994</v>
      </c>
      <c r="R254" t="s">
        <v>467</v>
      </c>
      <c r="S254" t="s">
        <v>449</v>
      </c>
      <c r="V254">
        <v>37.83</v>
      </c>
      <c r="W254" t="s">
        <v>458</v>
      </c>
      <c r="X254" t="s">
        <v>470</v>
      </c>
      <c r="Y254">
        <v>36.3</v>
      </c>
      <c r="Z254">
        <v>1.530000000000001</v>
      </c>
      <c r="AA254" t="s">
        <v>467</v>
      </c>
      <c r="AD254" t="s">
        <v>493</v>
      </c>
      <c r="AF254">
        <v>38.48</v>
      </c>
      <c r="AG254" t="s">
        <v>497</v>
      </c>
      <c r="AH254" t="s">
        <v>497</v>
      </c>
      <c r="AI254">
        <v>38.3</v>
      </c>
      <c r="AJ254">
        <v>0.1799999999999997</v>
      </c>
      <c r="AK254" t="s">
        <v>467</v>
      </c>
      <c r="AM254">
        <v>37.11</v>
      </c>
      <c r="AN254" t="s">
        <v>460</v>
      </c>
      <c r="AO254" t="s">
        <v>562</v>
      </c>
      <c r="AP254">
        <v>37</v>
      </c>
      <c r="AQ254">
        <v>0.1099999999999994</v>
      </c>
      <c r="AR254" t="s">
        <v>467</v>
      </c>
      <c r="AS254" t="s">
        <v>563</v>
      </c>
      <c r="AU254" t="s">
        <v>566</v>
      </c>
      <c r="AV254" s="1" t="s">
        <v>794</v>
      </c>
      <c r="AW254" t="s">
        <v>808</v>
      </c>
      <c r="AX254" t="s">
        <v>849</v>
      </c>
    </row>
    <row r="255" spans="2:50">
      <c r="B255" t="s">
        <v>303</v>
      </c>
      <c r="E255" t="s">
        <v>391</v>
      </c>
      <c r="M255">
        <v>38.01</v>
      </c>
      <c r="N255" t="s">
        <v>460</v>
      </c>
      <c r="O255" t="s">
        <v>464</v>
      </c>
      <c r="P255">
        <v>38.2</v>
      </c>
      <c r="Q255">
        <v>0.1900000000000048</v>
      </c>
      <c r="R255" t="s">
        <v>467</v>
      </c>
      <c r="S255" t="s">
        <v>449</v>
      </c>
      <c r="AA255" t="s">
        <v>467</v>
      </c>
      <c r="AD255" t="s">
        <v>492</v>
      </c>
      <c r="AF255">
        <v>44.55</v>
      </c>
      <c r="AG255" t="s">
        <v>504</v>
      </c>
      <c r="AH255" t="s">
        <v>506</v>
      </c>
      <c r="AI255">
        <v>40.4</v>
      </c>
      <c r="AJ255">
        <v>4.149999999999999</v>
      </c>
      <c r="AK255" t="s">
        <v>467</v>
      </c>
      <c r="AR255" t="s">
        <v>467</v>
      </c>
      <c r="AS255" t="s">
        <v>564</v>
      </c>
      <c r="AU255" t="s">
        <v>565</v>
      </c>
      <c r="AV255" s="1" t="s">
        <v>784</v>
      </c>
      <c r="AW255" t="s">
        <v>808</v>
      </c>
      <c r="AX255" t="s">
        <v>930</v>
      </c>
    </row>
    <row r="256" spans="2:50">
      <c r="B256" t="s">
        <v>304</v>
      </c>
      <c r="K256" t="s">
        <v>450</v>
      </c>
      <c r="L256">
        <v>100</v>
      </c>
      <c r="M256">
        <v>38.83</v>
      </c>
      <c r="N256" t="s">
        <v>459</v>
      </c>
      <c r="O256" t="s">
        <v>462</v>
      </c>
      <c r="P256">
        <v>38.2</v>
      </c>
      <c r="Q256">
        <v>0.6299999999999955</v>
      </c>
      <c r="R256" t="s">
        <v>467</v>
      </c>
      <c r="T256" t="s">
        <v>468</v>
      </c>
      <c r="U256">
        <v>2</v>
      </c>
      <c r="AA256" t="s">
        <v>467</v>
      </c>
      <c r="AB256" t="s">
        <v>472</v>
      </c>
      <c r="AD256" t="s">
        <v>478</v>
      </c>
      <c r="AK256" t="s">
        <v>467</v>
      </c>
      <c r="AR256" t="s">
        <v>467</v>
      </c>
      <c r="AS256" t="s">
        <v>449</v>
      </c>
      <c r="AT256">
        <v>3</v>
      </c>
      <c r="AU256" t="s">
        <v>565</v>
      </c>
      <c r="AV256" s="1" t="s">
        <v>767</v>
      </c>
      <c r="AW256" t="s">
        <v>808</v>
      </c>
    </row>
    <row r="257" spans="2:50">
      <c r="B257" t="s">
        <v>305</v>
      </c>
      <c r="E257" t="s">
        <v>325</v>
      </c>
      <c r="K257" t="s">
        <v>450</v>
      </c>
      <c r="L257">
        <v>100</v>
      </c>
      <c r="R257" t="s">
        <v>467</v>
      </c>
      <c r="T257" t="s">
        <v>450</v>
      </c>
      <c r="U257">
        <v>100</v>
      </c>
      <c r="AA257" t="s">
        <v>467</v>
      </c>
      <c r="AD257" t="s">
        <v>491</v>
      </c>
      <c r="AF257">
        <v>32.89</v>
      </c>
      <c r="AG257" t="s">
        <v>504</v>
      </c>
      <c r="AH257" t="s">
        <v>505</v>
      </c>
      <c r="AI257">
        <v>38.3</v>
      </c>
      <c r="AJ257">
        <v>5.409999999999997</v>
      </c>
      <c r="AK257" t="s">
        <v>467</v>
      </c>
      <c r="AM257">
        <v>43.88</v>
      </c>
      <c r="AN257" t="s">
        <v>507</v>
      </c>
      <c r="AO257" t="s">
        <v>515</v>
      </c>
      <c r="AP257">
        <v>37.7</v>
      </c>
      <c r="AQ257">
        <v>6.18</v>
      </c>
      <c r="AR257" t="s">
        <v>467</v>
      </c>
      <c r="AS257" t="s">
        <v>563</v>
      </c>
      <c r="AU257" t="s">
        <v>565</v>
      </c>
      <c r="AW257" t="s">
        <v>809</v>
      </c>
      <c r="AX257" t="s">
        <v>931</v>
      </c>
    </row>
    <row r="258" spans="2:50">
      <c r="B258" t="s">
        <v>306</v>
      </c>
      <c r="K258" t="s">
        <v>450</v>
      </c>
      <c r="L258">
        <v>100</v>
      </c>
      <c r="M258">
        <v>37.3</v>
      </c>
      <c r="N258" t="s">
        <v>461</v>
      </c>
      <c r="O258" t="s">
        <v>464</v>
      </c>
      <c r="P258">
        <v>37.1</v>
      </c>
      <c r="Q258">
        <v>0.1999999999999957</v>
      </c>
      <c r="R258" t="s">
        <v>467</v>
      </c>
      <c r="T258" t="s">
        <v>451</v>
      </c>
      <c r="U258">
        <v>90</v>
      </c>
      <c r="V258">
        <v>38.79</v>
      </c>
      <c r="W258" t="s">
        <v>461</v>
      </c>
      <c r="X258" t="s">
        <v>470</v>
      </c>
      <c r="Y258">
        <v>36.3</v>
      </c>
      <c r="Z258">
        <v>2.490000000000002</v>
      </c>
      <c r="AA258" t="s">
        <v>467</v>
      </c>
      <c r="AB258" t="s">
        <v>472</v>
      </c>
      <c r="AD258" t="s">
        <v>480</v>
      </c>
      <c r="AK258" t="s">
        <v>467</v>
      </c>
      <c r="AM258">
        <v>41.4</v>
      </c>
      <c r="AN258" t="s">
        <v>461</v>
      </c>
      <c r="AO258" t="s">
        <v>515</v>
      </c>
      <c r="AP258">
        <v>37.7</v>
      </c>
      <c r="AQ258">
        <v>3.699999999999996</v>
      </c>
      <c r="AR258" t="s">
        <v>467</v>
      </c>
      <c r="AS258" t="s">
        <v>449</v>
      </c>
      <c r="AU258" t="s">
        <v>565</v>
      </c>
      <c r="AV258" s="1" t="s">
        <v>795</v>
      </c>
      <c r="AW258" t="s">
        <v>808</v>
      </c>
    </row>
    <row r="259" spans="2:50">
      <c r="B259" t="s">
        <v>307</v>
      </c>
      <c r="E259" t="s">
        <v>397</v>
      </c>
      <c r="K259" t="s">
        <v>450</v>
      </c>
      <c r="L259">
        <v>100</v>
      </c>
      <c r="R259" t="s">
        <v>467</v>
      </c>
      <c r="T259" t="s">
        <v>468</v>
      </c>
      <c r="U259">
        <v>1</v>
      </c>
      <c r="AA259" t="s">
        <v>467</v>
      </c>
      <c r="AF259">
        <v>36.51</v>
      </c>
      <c r="AG259" t="s">
        <v>497</v>
      </c>
      <c r="AH259" t="s">
        <v>505</v>
      </c>
      <c r="AI259">
        <v>38.3</v>
      </c>
      <c r="AJ259">
        <v>1.789999999999999</v>
      </c>
      <c r="AK259" t="s">
        <v>467</v>
      </c>
      <c r="AM259">
        <v>38.47</v>
      </c>
      <c r="AN259" t="s">
        <v>507</v>
      </c>
      <c r="AO259" t="s">
        <v>515</v>
      </c>
      <c r="AP259">
        <v>37.7</v>
      </c>
      <c r="AQ259">
        <v>0.769999999999996</v>
      </c>
      <c r="AR259" t="s">
        <v>467</v>
      </c>
      <c r="AU259" t="s">
        <v>565</v>
      </c>
      <c r="AW259" t="s">
        <v>809</v>
      </c>
      <c r="AX259" t="s">
        <v>904</v>
      </c>
    </row>
    <row r="260" spans="2:50">
      <c r="B260" t="s">
        <v>308</v>
      </c>
      <c r="E260" t="s">
        <v>444</v>
      </c>
      <c r="J260" t="s">
        <v>449</v>
      </c>
      <c r="M260">
        <v>34</v>
      </c>
      <c r="N260" t="s">
        <v>459</v>
      </c>
      <c r="O260" t="s">
        <v>463</v>
      </c>
      <c r="P260">
        <v>37.1</v>
      </c>
      <c r="Q260">
        <v>3.100000000000001</v>
      </c>
      <c r="R260" t="s">
        <v>467</v>
      </c>
      <c r="S260" t="s">
        <v>449</v>
      </c>
      <c r="V260">
        <v>42.42</v>
      </c>
      <c r="W260" t="s">
        <v>469</v>
      </c>
      <c r="X260" t="s">
        <v>470</v>
      </c>
      <c r="Y260">
        <v>36.3</v>
      </c>
      <c r="Z260">
        <v>6.120000000000005</v>
      </c>
      <c r="AA260" t="s">
        <v>467</v>
      </c>
      <c r="AD260" t="s">
        <v>491</v>
      </c>
      <c r="AF260">
        <v>38.36</v>
      </c>
      <c r="AG260" t="s">
        <v>503</v>
      </c>
      <c r="AH260" t="s">
        <v>497</v>
      </c>
      <c r="AI260">
        <v>38.3</v>
      </c>
      <c r="AJ260">
        <v>0.06000000000000227</v>
      </c>
      <c r="AK260" t="s">
        <v>467</v>
      </c>
      <c r="AM260">
        <v>30.5</v>
      </c>
      <c r="AN260" t="s">
        <v>507</v>
      </c>
      <c r="AO260" t="s">
        <v>510</v>
      </c>
      <c r="AP260">
        <v>35.1</v>
      </c>
      <c r="AQ260">
        <v>4.600000000000001</v>
      </c>
      <c r="AR260" t="s">
        <v>467</v>
      </c>
      <c r="AS260" t="s">
        <v>563</v>
      </c>
      <c r="AU260" t="s">
        <v>566</v>
      </c>
      <c r="AV260" s="1" t="s">
        <v>796</v>
      </c>
      <c r="AW260" t="s">
        <v>808</v>
      </c>
      <c r="AX260" t="s">
        <v>932</v>
      </c>
    </row>
    <row r="261" spans="2:50">
      <c r="B261" t="s">
        <v>309</v>
      </c>
      <c r="E261" t="s">
        <v>356</v>
      </c>
      <c r="J261" t="s">
        <v>449</v>
      </c>
      <c r="M261">
        <v>38.69</v>
      </c>
      <c r="N261" t="s">
        <v>459</v>
      </c>
      <c r="O261" t="s">
        <v>462</v>
      </c>
      <c r="P261">
        <v>38.2</v>
      </c>
      <c r="Q261">
        <v>0.4899999999999949</v>
      </c>
      <c r="R261" t="s">
        <v>467</v>
      </c>
      <c r="S261" t="s">
        <v>449</v>
      </c>
      <c r="AA261" t="s">
        <v>467</v>
      </c>
      <c r="AD261" t="s">
        <v>492</v>
      </c>
      <c r="AK261" t="s">
        <v>467</v>
      </c>
      <c r="AM261">
        <v>43.25</v>
      </c>
      <c r="AN261" t="s">
        <v>458</v>
      </c>
      <c r="AO261" t="s">
        <v>515</v>
      </c>
      <c r="AP261">
        <v>37.7</v>
      </c>
      <c r="AQ261">
        <v>5.549999999999997</v>
      </c>
      <c r="AR261" t="s">
        <v>467</v>
      </c>
      <c r="AS261" t="s">
        <v>564</v>
      </c>
      <c r="AU261" t="s">
        <v>565</v>
      </c>
      <c r="AV261" s="1" t="s">
        <v>797</v>
      </c>
      <c r="AW261" t="s">
        <v>808</v>
      </c>
      <c r="AX261" t="s">
        <v>875</v>
      </c>
    </row>
    <row r="262" spans="2:50">
      <c r="B262" t="s">
        <v>310</v>
      </c>
      <c r="J262" t="s">
        <v>449</v>
      </c>
      <c r="K262" t="s">
        <v>450</v>
      </c>
      <c r="L262">
        <v>100</v>
      </c>
      <c r="M262">
        <v>42.59</v>
      </c>
      <c r="N262" t="s">
        <v>458</v>
      </c>
      <c r="O262" t="s">
        <v>462</v>
      </c>
      <c r="P262">
        <v>38.2</v>
      </c>
      <c r="Q262">
        <v>4.390000000000001</v>
      </c>
      <c r="R262" t="s">
        <v>467</v>
      </c>
      <c r="T262" t="s">
        <v>468</v>
      </c>
      <c r="U262">
        <v>2</v>
      </c>
      <c r="AA262" t="s">
        <v>467</v>
      </c>
      <c r="AB262" t="s">
        <v>472</v>
      </c>
      <c r="AD262" t="s">
        <v>478</v>
      </c>
      <c r="AF262">
        <v>38.35</v>
      </c>
      <c r="AG262" t="s">
        <v>503</v>
      </c>
      <c r="AH262" t="s">
        <v>497</v>
      </c>
      <c r="AI262">
        <v>38.3</v>
      </c>
      <c r="AJ262">
        <v>0.05000000000000426</v>
      </c>
      <c r="AK262" t="s">
        <v>466</v>
      </c>
      <c r="AM262">
        <v>33.03</v>
      </c>
      <c r="AN262" t="s">
        <v>461</v>
      </c>
      <c r="AO262" t="s">
        <v>510</v>
      </c>
      <c r="AP262">
        <v>35.1</v>
      </c>
      <c r="AQ262">
        <v>2.07</v>
      </c>
      <c r="AR262" t="s">
        <v>467</v>
      </c>
      <c r="AS262" t="s">
        <v>449</v>
      </c>
      <c r="AT262">
        <v>3</v>
      </c>
      <c r="AU262" t="s">
        <v>565</v>
      </c>
      <c r="AV262" s="1" t="s">
        <v>798</v>
      </c>
      <c r="AW262" t="s">
        <v>808</v>
      </c>
    </row>
    <row r="263" spans="2:50">
      <c r="B263" t="s">
        <v>311</v>
      </c>
      <c r="E263" t="s">
        <v>325</v>
      </c>
      <c r="K263" t="s">
        <v>450</v>
      </c>
      <c r="L263">
        <v>100</v>
      </c>
      <c r="R263" t="s">
        <v>467</v>
      </c>
      <c r="T263" t="s">
        <v>450</v>
      </c>
      <c r="U263">
        <v>100</v>
      </c>
      <c r="V263">
        <v>34.54</v>
      </c>
      <c r="W263" t="s">
        <v>461</v>
      </c>
      <c r="X263" t="s">
        <v>463</v>
      </c>
      <c r="Y263">
        <v>35</v>
      </c>
      <c r="Z263">
        <v>0.4600000000000009</v>
      </c>
      <c r="AA263" t="s">
        <v>467</v>
      </c>
      <c r="AB263" t="s">
        <v>474</v>
      </c>
      <c r="AC263" t="s">
        <v>476</v>
      </c>
      <c r="AD263" t="s">
        <v>490</v>
      </c>
      <c r="AF263">
        <v>38.02</v>
      </c>
      <c r="AG263" t="s">
        <v>504</v>
      </c>
      <c r="AH263" t="s">
        <v>505</v>
      </c>
      <c r="AI263">
        <v>38.3</v>
      </c>
      <c r="AJ263">
        <v>0.279999999999994</v>
      </c>
      <c r="AK263" t="s">
        <v>467</v>
      </c>
      <c r="AM263">
        <v>35.38</v>
      </c>
      <c r="AN263" t="s">
        <v>458</v>
      </c>
      <c r="AO263" t="s">
        <v>533</v>
      </c>
      <c r="AP263">
        <v>35.1</v>
      </c>
      <c r="AQ263">
        <v>0.2800000000000011</v>
      </c>
      <c r="AR263" t="s">
        <v>467</v>
      </c>
      <c r="AS263" t="s">
        <v>563</v>
      </c>
      <c r="AT263">
        <v>0</v>
      </c>
      <c r="AU263" t="s">
        <v>565</v>
      </c>
      <c r="AV263" s="1" t="s">
        <v>799</v>
      </c>
      <c r="AW263" t="s">
        <v>808</v>
      </c>
      <c r="AX263" t="s">
        <v>933</v>
      </c>
    </row>
    <row r="264" spans="2:50">
      <c r="B264" t="s">
        <v>312</v>
      </c>
      <c r="K264" t="s">
        <v>450</v>
      </c>
      <c r="L264">
        <v>100</v>
      </c>
      <c r="R264" t="s">
        <v>467</v>
      </c>
      <c r="T264" t="s">
        <v>451</v>
      </c>
      <c r="U264">
        <v>90</v>
      </c>
      <c r="V264">
        <v>39.59</v>
      </c>
      <c r="W264" t="s">
        <v>458</v>
      </c>
      <c r="X264" t="s">
        <v>470</v>
      </c>
      <c r="Y264">
        <v>36.3</v>
      </c>
      <c r="Z264">
        <v>3.290000000000006</v>
      </c>
      <c r="AA264" t="s">
        <v>467</v>
      </c>
      <c r="AB264" t="s">
        <v>472</v>
      </c>
      <c r="AD264" t="s">
        <v>480</v>
      </c>
      <c r="AF264">
        <v>39.22</v>
      </c>
      <c r="AG264" t="s">
        <v>497</v>
      </c>
      <c r="AH264" t="s">
        <v>497</v>
      </c>
      <c r="AI264">
        <v>38.3</v>
      </c>
      <c r="AJ264">
        <v>0.9200000000000017</v>
      </c>
      <c r="AK264" t="s">
        <v>465</v>
      </c>
      <c r="AR264" t="s">
        <v>467</v>
      </c>
      <c r="AS264" t="s">
        <v>449</v>
      </c>
      <c r="AU264" t="s">
        <v>565</v>
      </c>
      <c r="AV264" s="1" t="s">
        <v>767</v>
      </c>
      <c r="AW264" t="s">
        <v>808</v>
      </c>
    </row>
    <row r="265" spans="2:50">
      <c r="B265" t="s">
        <v>313</v>
      </c>
      <c r="E265" t="s">
        <v>445</v>
      </c>
      <c r="K265" t="s">
        <v>450</v>
      </c>
      <c r="L265">
        <v>100</v>
      </c>
      <c r="M265">
        <v>37.74</v>
      </c>
      <c r="N265" t="s">
        <v>461</v>
      </c>
      <c r="O265" t="s">
        <v>464</v>
      </c>
      <c r="P265">
        <v>38.2</v>
      </c>
      <c r="Q265">
        <v>0.4600000000000009</v>
      </c>
      <c r="R265" t="s">
        <v>467</v>
      </c>
      <c r="T265" t="s">
        <v>468</v>
      </c>
      <c r="U265">
        <v>1</v>
      </c>
      <c r="AA265" t="s">
        <v>467</v>
      </c>
      <c r="AF265">
        <v>33.58</v>
      </c>
      <c r="AG265" t="s">
        <v>504</v>
      </c>
      <c r="AH265" t="s">
        <v>505</v>
      </c>
      <c r="AI265">
        <v>38.3</v>
      </c>
      <c r="AJ265">
        <v>4.719999999999999</v>
      </c>
      <c r="AK265" t="s">
        <v>467</v>
      </c>
      <c r="AM265">
        <v>38.14</v>
      </c>
      <c r="AN265" t="s">
        <v>458</v>
      </c>
      <c r="AO265" t="s">
        <v>515</v>
      </c>
      <c r="AP265">
        <v>37.7</v>
      </c>
      <c r="AQ265">
        <v>0.4399999999999977</v>
      </c>
      <c r="AR265" t="s">
        <v>467</v>
      </c>
      <c r="AU265" t="s">
        <v>565</v>
      </c>
      <c r="AV265" s="1" t="s">
        <v>800</v>
      </c>
      <c r="AW265" t="s">
        <v>808</v>
      </c>
      <c r="AX265" t="s">
        <v>934</v>
      </c>
    </row>
    <row r="266" spans="2:50">
      <c r="B266" t="s">
        <v>314</v>
      </c>
      <c r="E266" t="s">
        <v>368</v>
      </c>
      <c r="J266" t="s">
        <v>449</v>
      </c>
      <c r="M266">
        <v>38.96</v>
      </c>
      <c r="N266" t="s">
        <v>458</v>
      </c>
      <c r="O266" t="s">
        <v>462</v>
      </c>
      <c r="P266">
        <v>38.2</v>
      </c>
      <c r="Q266">
        <v>0.759999999999998</v>
      </c>
      <c r="R266" t="s">
        <v>467</v>
      </c>
      <c r="S266" t="s">
        <v>449</v>
      </c>
      <c r="V266">
        <v>40.6</v>
      </c>
      <c r="W266" t="s">
        <v>460</v>
      </c>
      <c r="X266" t="s">
        <v>470</v>
      </c>
      <c r="Y266">
        <v>36.3</v>
      </c>
      <c r="Z266">
        <v>4.300000000000004</v>
      </c>
      <c r="AA266" t="s">
        <v>466</v>
      </c>
      <c r="AD266" t="s">
        <v>489</v>
      </c>
      <c r="AF266">
        <v>32.98</v>
      </c>
      <c r="AG266" t="s">
        <v>504</v>
      </c>
      <c r="AH266" t="s">
        <v>505</v>
      </c>
      <c r="AI266">
        <v>38.3</v>
      </c>
      <c r="AJ266">
        <v>5.32</v>
      </c>
      <c r="AK266" t="s">
        <v>467</v>
      </c>
      <c r="AM266">
        <v>39.21</v>
      </c>
      <c r="AN266" t="s">
        <v>458</v>
      </c>
      <c r="AO266" t="s">
        <v>515</v>
      </c>
      <c r="AP266">
        <v>37.7</v>
      </c>
      <c r="AQ266">
        <v>1.509999999999998</v>
      </c>
      <c r="AR266" t="s">
        <v>467</v>
      </c>
      <c r="AS266" t="s">
        <v>563</v>
      </c>
      <c r="AU266" t="s">
        <v>566</v>
      </c>
      <c r="AV266" s="1" t="s">
        <v>801</v>
      </c>
      <c r="AW266" t="s">
        <v>808</v>
      </c>
      <c r="AX266" t="s">
        <v>919</v>
      </c>
    </row>
    <row r="267" spans="2:50">
      <c r="B267" t="s">
        <v>315</v>
      </c>
      <c r="E267" t="s">
        <v>446</v>
      </c>
      <c r="R267" t="s">
        <v>467</v>
      </c>
      <c r="S267" t="s">
        <v>449</v>
      </c>
      <c r="V267">
        <v>42.21</v>
      </c>
      <c r="W267" t="s">
        <v>458</v>
      </c>
      <c r="X267" t="s">
        <v>470</v>
      </c>
      <c r="Y267">
        <v>36.3</v>
      </c>
      <c r="Z267">
        <v>5.910000000000004</v>
      </c>
      <c r="AA267" t="s">
        <v>467</v>
      </c>
      <c r="AD267" t="s">
        <v>494</v>
      </c>
      <c r="AF267">
        <v>40.01</v>
      </c>
      <c r="AG267" t="s">
        <v>504</v>
      </c>
      <c r="AH267" t="s">
        <v>497</v>
      </c>
      <c r="AI267">
        <v>40.4</v>
      </c>
      <c r="AJ267">
        <v>0.3900000000000006</v>
      </c>
      <c r="AK267" t="s">
        <v>467</v>
      </c>
      <c r="AM267">
        <v>32.07</v>
      </c>
      <c r="AN267" t="s">
        <v>507</v>
      </c>
      <c r="AO267" t="s">
        <v>510</v>
      </c>
      <c r="AP267">
        <v>35.1</v>
      </c>
      <c r="AQ267">
        <v>3.030000000000001</v>
      </c>
      <c r="AR267" t="s">
        <v>467</v>
      </c>
      <c r="AS267" t="s">
        <v>564</v>
      </c>
      <c r="AU267" t="s">
        <v>565</v>
      </c>
      <c r="AV267" s="1" t="s">
        <v>802</v>
      </c>
      <c r="AW267" t="s">
        <v>808</v>
      </c>
      <c r="AX267" t="s">
        <v>935</v>
      </c>
    </row>
    <row r="268" spans="2:50">
      <c r="B268" t="s">
        <v>316</v>
      </c>
      <c r="J268" t="s">
        <v>449</v>
      </c>
      <c r="K268" t="s">
        <v>450</v>
      </c>
      <c r="L268">
        <v>100</v>
      </c>
      <c r="M268">
        <v>40.63</v>
      </c>
      <c r="N268" t="s">
        <v>461</v>
      </c>
      <c r="O268" t="s">
        <v>462</v>
      </c>
      <c r="P268">
        <v>38.2</v>
      </c>
      <c r="Q268">
        <v>2.43</v>
      </c>
      <c r="R268" t="s">
        <v>467</v>
      </c>
      <c r="T268" t="s">
        <v>468</v>
      </c>
      <c r="U268">
        <v>2</v>
      </c>
      <c r="V268">
        <v>37.31</v>
      </c>
      <c r="W268" t="s">
        <v>458</v>
      </c>
      <c r="X268" t="s">
        <v>470</v>
      </c>
      <c r="Y268">
        <v>36.3</v>
      </c>
      <c r="Z268">
        <v>1.010000000000005</v>
      </c>
      <c r="AA268" t="s">
        <v>467</v>
      </c>
      <c r="AB268" t="s">
        <v>472</v>
      </c>
      <c r="AD268" t="s">
        <v>478</v>
      </c>
      <c r="AF268">
        <v>43.47</v>
      </c>
      <c r="AG268" t="s">
        <v>504</v>
      </c>
      <c r="AH268" t="s">
        <v>506</v>
      </c>
      <c r="AI268">
        <v>40.4</v>
      </c>
      <c r="AJ268">
        <v>3.07</v>
      </c>
      <c r="AK268" t="s">
        <v>467</v>
      </c>
      <c r="AM268">
        <v>36.38</v>
      </c>
      <c r="AN268" t="s">
        <v>460</v>
      </c>
      <c r="AO268" t="s">
        <v>548</v>
      </c>
      <c r="AP268">
        <v>36.3</v>
      </c>
      <c r="AQ268">
        <v>0.0800000000000054</v>
      </c>
      <c r="AR268" t="s">
        <v>467</v>
      </c>
      <c r="AS268" t="s">
        <v>449</v>
      </c>
      <c r="AT268">
        <v>3</v>
      </c>
      <c r="AU268" t="s">
        <v>565</v>
      </c>
      <c r="AV268" s="1" t="s">
        <v>803</v>
      </c>
      <c r="AW268" t="s">
        <v>808</v>
      </c>
    </row>
    <row r="269" spans="2:50">
      <c r="B269" t="s">
        <v>317</v>
      </c>
      <c r="E269" t="s">
        <v>325</v>
      </c>
      <c r="J269" t="s">
        <v>449</v>
      </c>
      <c r="K269" t="s">
        <v>450</v>
      </c>
      <c r="L269">
        <v>100</v>
      </c>
      <c r="M269">
        <v>39.5</v>
      </c>
      <c r="N269" t="s">
        <v>461</v>
      </c>
      <c r="O269" t="s">
        <v>462</v>
      </c>
      <c r="P269">
        <v>38.2</v>
      </c>
      <c r="Q269">
        <v>1.299999999999997</v>
      </c>
      <c r="R269" t="s">
        <v>467</v>
      </c>
      <c r="T269" t="s">
        <v>450</v>
      </c>
      <c r="U269">
        <v>100</v>
      </c>
      <c r="AA269" t="s">
        <v>467</v>
      </c>
      <c r="AD269" t="s">
        <v>491</v>
      </c>
      <c r="AK269" t="s">
        <v>467</v>
      </c>
      <c r="AM269">
        <v>38.48</v>
      </c>
      <c r="AN269" t="s">
        <v>458</v>
      </c>
      <c r="AO269" t="s">
        <v>515</v>
      </c>
      <c r="AP269">
        <v>37.7</v>
      </c>
      <c r="AQ269">
        <v>0.779999999999994</v>
      </c>
      <c r="AR269" t="s">
        <v>467</v>
      </c>
      <c r="AS269" t="s">
        <v>563</v>
      </c>
      <c r="AT269">
        <v>0</v>
      </c>
      <c r="AU269" t="s">
        <v>565</v>
      </c>
      <c r="AW269" t="s">
        <v>809</v>
      </c>
      <c r="AX269" t="s">
        <v>813</v>
      </c>
    </row>
    <row r="270" spans="2:50">
      <c r="B270" t="s">
        <v>318</v>
      </c>
      <c r="J270" t="s">
        <v>449</v>
      </c>
      <c r="K270" t="s">
        <v>450</v>
      </c>
      <c r="L270">
        <v>100</v>
      </c>
      <c r="M270">
        <v>39.34</v>
      </c>
      <c r="N270" t="s">
        <v>460</v>
      </c>
      <c r="O270" t="s">
        <v>462</v>
      </c>
      <c r="P270">
        <v>38.2</v>
      </c>
      <c r="Q270">
        <v>1.140000000000001</v>
      </c>
      <c r="R270" t="s">
        <v>466</v>
      </c>
      <c r="T270" t="s">
        <v>451</v>
      </c>
      <c r="U270">
        <v>90</v>
      </c>
      <c r="V270">
        <v>43.54</v>
      </c>
      <c r="W270" t="s">
        <v>458</v>
      </c>
      <c r="X270" t="s">
        <v>470</v>
      </c>
      <c r="Y270">
        <v>36.3</v>
      </c>
      <c r="Z270">
        <v>7.240000000000002</v>
      </c>
      <c r="AA270" t="s">
        <v>467</v>
      </c>
      <c r="AB270" t="s">
        <v>472</v>
      </c>
      <c r="AD270" t="s">
        <v>480</v>
      </c>
      <c r="AF270">
        <v>44.25</v>
      </c>
      <c r="AG270" t="s">
        <v>504</v>
      </c>
      <c r="AH270" t="s">
        <v>506</v>
      </c>
      <c r="AI270">
        <v>40.4</v>
      </c>
      <c r="AJ270">
        <v>3.850000000000001</v>
      </c>
      <c r="AK270" t="s">
        <v>467</v>
      </c>
      <c r="AR270" t="s">
        <v>467</v>
      </c>
      <c r="AS270" t="s">
        <v>449</v>
      </c>
      <c r="AU270" t="s">
        <v>565</v>
      </c>
      <c r="AV270" s="1" t="s">
        <v>804</v>
      </c>
      <c r="AW270" t="s">
        <v>808</v>
      </c>
    </row>
    <row r="271" spans="2:50">
      <c r="B271" t="s">
        <v>319</v>
      </c>
      <c r="E271" t="s">
        <v>447</v>
      </c>
      <c r="K271" t="s">
        <v>450</v>
      </c>
      <c r="L271">
        <v>100</v>
      </c>
      <c r="M271">
        <v>30.12</v>
      </c>
      <c r="N271" t="s">
        <v>461</v>
      </c>
      <c r="O271" t="s">
        <v>463</v>
      </c>
      <c r="P271">
        <v>37.1</v>
      </c>
      <c r="Q271">
        <v>6.98</v>
      </c>
      <c r="R271" t="s">
        <v>467</v>
      </c>
      <c r="T271" t="s">
        <v>468</v>
      </c>
      <c r="U271">
        <v>1</v>
      </c>
      <c r="V271">
        <v>44.68</v>
      </c>
      <c r="W271" t="s">
        <v>469</v>
      </c>
      <c r="X271" t="s">
        <v>470</v>
      </c>
      <c r="Y271">
        <v>36.3</v>
      </c>
      <c r="Z271">
        <v>8.380000000000003</v>
      </c>
      <c r="AA271" t="s">
        <v>467</v>
      </c>
      <c r="AF271">
        <v>40.66</v>
      </c>
      <c r="AG271" t="s">
        <v>503</v>
      </c>
      <c r="AH271" t="s">
        <v>506</v>
      </c>
      <c r="AI271">
        <v>40.4</v>
      </c>
      <c r="AJ271">
        <v>0.259999999999998</v>
      </c>
      <c r="AK271" t="s">
        <v>467</v>
      </c>
      <c r="AM271">
        <v>31.43</v>
      </c>
      <c r="AN271" t="s">
        <v>461</v>
      </c>
      <c r="AO271" t="s">
        <v>510</v>
      </c>
      <c r="AP271">
        <v>35.1</v>
      </c>
      <c r="AQ271">
        <v>3.670000000000002</v>
      </c>
      <c r="AR271" t="s">
        <v>467</v>
      </c>
      <c r="AU271" t="s">
        <v>565</v>
      </c>
      <c r="AV271" s="1" t="s">
        <v>805</v>
      </c>
      <c r="AW271" t="s">
        <v>808</v>
      </c>
      <c r="AX271" t="s">
        <v>936</v>
      </c>
    </row>
    <row r="272" spans="2:50">
      <c r="B272" t="s">
        <v>320</v>
      </c>
      <c r="E272" t="s">
        <v>353</v>
      </c>
      <c r="M272">
        <v>36.7</v>
      </c>
      <c r="N272" t="s">
        <v>458</v>
      </c>
      <c r="O272" t="s">
        <v>463</v>
      </c>
      <c r="P272">
        <v>37.1</v>
      </c>
      <c r="Q272">
        <v>0.3999999999999986</v>
      </c>
      <c r="R272" t="s">
        <v>467</v>
      </c>
      <c r="S272" t="s">
        <v>449</v>
      </c>
      <c r="AA272" t="s">
        <v>467</v>
      </c>
      <c r="AB272" t="s">
        <v>472</v>
      </c>
      <c r="AD272" t="s">
        <v>495</v>
      </c>
      <c r="AF272">
        <v>38.19</v>
      </c>
      <c r="AG272" t="s">
        <v>497</v>
      </c>
      <c r="AH272" t="s">
        <v>505</v>
      </c>
      <c r="AI272">
        <v>38.3</v>
      </c>
      <c r="AJ272">
        <v>0.1099999999999994</v>
      </c>
      <c r="AK272" t="s">
        <v>465</v>
      </c>
      <c r="AR272" t="s">
        <v>467</v>
      </c>
      <c r="AS272" t="s">
        <v>563</v>
      </c>
      <c r="AU272" t="s">
        <v>566</v>
      </c>
      <c r="AV272" s="1" t="s">
        <v>806</v>
      </c>
      <c r="AW272" t="s">
        <v>808</v>
      </c>
      <c r="AX272" t="s">
        <v>828</v>
      </c>
    </row>
    <row r="273" spans="2:50">
      <c r="B273" t="s">
        <v>321</v>
      </c>
      <c r="E273" t="s">
        <v>403</v>
      </c>
      <c r="J273" t="s">
        <v>449</v>
      </c>
      <c r="M273">
        <v>38.18</v>
      </c>
      <c r="N273" t="s">
        <v>459</v>
      </c>
      <c r="O273" t="s">
        <v>464</v>
      </c>
      <c r="P273">
        <v>38.2</v>
      </c>
      <c r="Q273">
        <v>0.02000000000000313</v>
      </c>
      <c r="R273" t="s">
        <v>467</v>
      </c>
      <c r="S273" t="s">
        <v>449</v>
      </c>
      <c r="AA273" t="s">
        <v>467</v>
      </c>
      <c r="AB273" t="s">
        <v>472</v>
      </c>
      <c r="AD273" t="s">
        <v>495</v>
      </c>
      <c r="AF273">
        <v>39</v>
      </c>
      <c r="AG273" t="s">
        <v>503</v>
      </c>
      <c r="AH273" t="s">
        <v>497</v>
      </c>
      <c r="AI273">
        <v>38.3</v>
      </c>
      <c r="AJ273">
        <v>0.7000000000000028</v>
      </c>
      <c r="AK273" t="s">
        <v>466</v>
      </c>
      <c r="AM273">
        <v>40.56</v>
      </c>
      <c r="AN273" t="s">
        <v>461</v>
      </c>
      <c r="AO273" t="s">
        <v>515</v>
      </c>
      <c r="AP273">
        <v>37.7</v>
      </c>
      <c r="AQ273">
        <v>2.859999999999999</v>
      </c>
      <c r="AR273" t="s">
        <v>467</v>
      </c>
      <c r="AS273" t="s">
        <v>564</v>
      </c>
      <c r="AU273" t="s">
        <v>565</v>
      </c>
      <c r="AV273" s="1" t="s">
        <v>807</v>
      </c>
      <c r="AW273" t="s">
        <v>808</v>
      </c>
      <c r="AX273" t="s">
        <v>868</v>
      </c>
    </row>
    <row r="274" spans="2:50">
      <c r="B274" t="s">
        <v>322</v>
      </c>
      <c r="J274" t="s">
        <v>449</v>
      </c>
      <c r="K274" t="s">
        <v>450</v>
      </c>
      <c r="L274">
        <v>100</v>
      </c>
      <c r="M274">
        <v>32.48</v>
      </c>
      <c r="N274" t="s">
        <v>458</v>
      </c>
      <c r="O274" t="s">
        <v>463</v>
      </c>
      <c r="P274">
        <v>37.1</v>
      </c>
      <c r="Q274">
        <v>4.620000000000005</v>
      </c>
      <c r="R274" t="s">
        <v>467</v>
      </c>
      <c r="T274" t="s">
        <v>468</v>
      </c>
      <c r="U274">
        <v>2</v>
      </c>
      <c r="V274">
        <v>39.22</v>
      </c>
      <c r="W274" t="s">
        <v>460</v>
      </c>
      <c r="X274" t="s">
        <v>470</v>
      </c>
      <c r="Y274">
        <v>36.3</v>
      </c>
      <c r="Z274">
        <v>2.920000000000002</v>
      </c>
      <c r="AA274" t="s">
        <v>467</v>
      </c>
      <c r="AB274" t="s">
        <v>472</v>
      </c>
      <c r="AD274" t="s">
        <v>478</v>
      </c>
      <c r="AK274" t="s">
        <v>467</v>
      </c>
      <c r="AR274" t="s">
        <v>467</v>
      </c>
      <c r="AS274" t="s">
        <v>449</v>
      </c>
      <c r="AT274">
        <v>3</v>
      </c>
      <c r="AU274" t="s">
        <v>565</v>
      </c>
      <c r="AV274" s="1" t="s">
        <v>767</v>
      </c>
      <c r="AW274" t="s">
        <v>808</v>
      </c>
    </row>
    <row r="275" spans="2:50">
      <c r="B275" t="s">
        <v>323</v>
      </c>
      <c r="E275" t="s">
        <v>325</v>
      </c>
      <c r="J275" t="s">
        <v>449</v>
      </c>
      <c r="K275" t="s">
        <v>450</v>
      </c>
      <c r="L275">
        <v>100</v>
      </c>
      <c r="R275" t="s">
        <v>467</v>
      </c>
      <c r="T275" t="s">
        <v>450</v>
      </c>
      <c r="U275">
        <v>100</v>
      </c>
      <c r="V275">
        <v>38.65</v>
      </c>
      <c r="W275" t="s">
        <v>460</v>
      </c>
      <c r="X275" t="s">
        <v>470</v>
      </c>
      <c r="Y275">
        <v>36.3</v>
      </c>
      <c r="Z275">
        <v>2.350000000000001</v>
      </c>
      <c r="AA275" t="s">
        <v>467</v>
      </c>
      <c r="AB275" t="s">
        <v>472</v>
      </c>
      <c r="AD275" t="s">
        <v>495</v>
      </c>
      <c r="AF275">
        <v>42.47</v>
      </c>
      <c r="AG275" t="s">
        <v>504</v>
      </c>
      <c r="AH275" t="s">
        <v>506</v>
      </c>
      <c r="AI275">
        <v>40.4</v>
      </c>
      <c r="AJ275">
        <v>2.07</v>
      </c>
      <c r="AK275" t="s">
        <v>467</v>
      </c>
      <c r="AR275" t="s">
        <v>467</v>
      </c>
      <c r="AS275" t="s">
        <v>563</v>
      </c>
      <c r="AU275" t="s">
        <v>565</v>
      </c>
      <c r="AV275" s="1" t="s">
        <v>767</v>
      </c>
      <c r="AW275" t="s">
        <v>808</v>
      </c>
      <c r="AX275" t="s">
        <v>937</v>
      </c>
    </row>
    <row r="276" spans="2:50">
      <c r="B276" t="s">
        <v>324</v>
      </c>
      <c r="J276" t="s">
        <v>449</v>
      </c>
      <c r="K276" t="s">
        <v>450</v>
      </c>
      <c r="L276">
        <v>100</v>
      </c>
      <c r="R276" t="s">
        <v>467</v>
      </c>
      <c r="T276" t="s">
        <v>451</v>
      </c>
      <c r="U276">
        <v>90</v>
      </c>
      <c r="V276">
        <v>42.3</v>
      </c>
      <c r="W276" t="s">
        <v>461</v>
      </c>
      <c r="X276" t="s">
        <v>470</v>
      </c>
      <c r="Y276">
        <v>36.3</v>
      </c>
      <c r="Z276">
        <v>6</v>
      </c>
      <c r="AA276" t="s">
        <v>467</v>
      </c>
      <c r="AB276" t="s">
        <v>472</v>
      </c>
      <c r="AD276" t="s">
        <v>480</v>
      </c>
      <c r="AF276">
        <v>42.14</v>
      </c>
      <c r="AG276" t="s">
        <v>504</v>
      </c>
      <c r="AH276" t="s">
        <v>506</v>
      </c>
      <c r="AI276">
        <v>40.4</v>
      </c>
      <c r="AJ276">
        <v>1.740000000000002</v>
      </c>
      <c r="AK276" t="s">
        <v>467</v>
      </c>
      <c r="AM276">
        <v>42.76</v>
      </c>
      <c r="AN276" t="s">
        <v>507</v>
      </c>
      <c r="AO276" t="s">
        <v>515</v>
      </c>
      <c r="AP276">
        <v>37.7</v>
      </c>
      <c r="AQ276">
        <v>5.059999999999995</v>
      </c>
      <c r="AR276" t="s">
        <v>467</v>
      </c>
      <c r="AS276" t="s">
        <v>449</v>
      </c>
      <c r="AU276" t="s">
        <v>565</v>
      </c>
      <c r="AV276" s="1" t="s">
        <v>767</v>
      </c>
      <c r="AW276" t="s">
        <v>808</v>
      </c>
    </row>
  </sheetData>
  <autoFilter ref="A1:AX276"/>
  <conditionalFormatting sqref="AA2:AA276">
    <cfRule type="containsText" dxfId="0" priority="4" operator="containsText" text="OK">
      <formula>NOT(ISERROR(SEARCH("OK",AA2)))</formula>
    </cfRule>
    <cfRule type="containsText" dxfId="1" priority="5" operator="containsText" text="DISCORDANTE">
      <formula>NOT(ISERROR(SEARCH("DISCORDANTE",AA2)))</formula>
    </cfRule>
    <cfRule type="containsText" dxfId="2" priority="6" operator="containsText" text="NC">
      <formula>NOT(ISERROR(SEARCH("NC",AA2)))</formula>
    </cfRule>
  </conditionalFormatting>
  <conditionalFormatting sqref="AK2:AK276">
    <cfRule type="containsText" dxfId="0" priority="7" operator="containsText" text="OK">
      <formula>NOT(ISERROR(SEARCH("OK",AK2)))</formula>
    </cfRule>
    <cfRule type="containsText" dxfId="1" priority="8" operator="containsText" text="DISCORDANTE">
      <formula>NOT(ISERROR(SEARCH("DISCORDANTE",AK2)))</formula>
    </cfRule>
    <cfRule type="containsText" dxfId="2" priority="9" operator="containsText" text="NC">
      <formula>NOT(ISERROR(SEARCH("NC",AK2)))</formula>
    </cfRule>
  </conditionalFormatting>
  <conditionalFormatting sqref="AR2:AR276">
    <cfRule type="containsText" dxfId="0" priority="10" operator="containsText" text="OK">
      <formula>NOT(ISERROR(SEARCH("OK",AR2)))</formula>
    </cfRule>
    <cfRule type="containsText" dxfId="1" priority="11" operator="containsText" text="DISCORDANTE">
      <formula>NOT(ISERROR(SEARCH("DISCORDANTE",AR2)))</formula>
    </cfRule>
    <cfRule type="containsText" dxfId="2" priority="12" operator="containsText" text="NC">
      <formula>NOT(ISERROR(SEARCH("NC",AR2)))</formula>
    </cfRule>
  </conditionalFormatting>
  <conditionalFormatting sqref="AW2:AW276">
    <cfRule type="containsText" dxfId="3" priority="13" operator="containsText" text="SI">
      <formula>NOT(ISERROR(SEARCH("SI",AW2)))</formula>
    </cfRule>
  </conditionalFormatting>
  <conditionalFormatting sqref="R2:R276">
    <cfRule type="containsText" dxfId="0" priority="1" operator="containsText" text="OK">
      <formula>NOT(ISERROR(SEARCH("OK",R2)))</formula>
    </cfRule>
    <cfRule type="containsText" dxfId="1" priority="2" operator="containsText" text="DISCORDANTE">
      <formula>NOT(ISERROR(SEARCH("DISCORDANTE",R2)))</formula>
    </cfRule>
    <cfRule type="containsText" dxfId="2" priority="3" operator="containsText" text="NC">
      <formula>NOT(ISERROR(SEARCH("NC",R2)))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3"/>
  <sheetViews>
    <sheetView workbookViewId="0"/>
  </sheetViews>
  <sheetFormatPr defaultRowHeight="15"/>
  <cols>
    <col min="1" max="1" width="18.7109375" customWidth="1"/>
    <col min="2" max="4" width="16.7109375" customWidth="1"/>
    <col min="5" max="9" width="18.7109375" customWidth="1"/>
    <col min="10" max="15" width="20.7109375" customWidth="1"/>
    <col min="19" max="19" width="55.7109375" customWidth="1"/>
  </cols>
  <sheetData>
    <row r="1" spans="1:4">
      <c r="A1" s="10" t="s">
        <v>938</v>
      </c>
    </row>
    <row r="2" spans="1:4">
      <c r="A2" s="11" t="s">
        <v>939</v>
      </c>
    </row>
    <row r="4" spans="1:4">
      <c r="A4" s="12" t="s">
        <v>940</v>
      </c>
      <c r="B4" s="13">
        <v>275</v>
      </c>
    </row>
    <row r="5" spans="1:4">
      <c r="A5" s="12" t="s">
        <v>941</v>
      </c>
      <c r="B5" s="13">
        <v>258</v>
      </c>
    </row>
    <row r="6" spans="1:4">
      <c r="A6" s="12" t="s">
        <v>942</v>
      </c>
      <c r="B6" s="13">
        <v>329</v>
      </c>
    </row>
    <row r="8" spans="1:4">
      <c r="A8" s="12" t="s">
        <v>943</v>
      </c>
    </row>
    <row r="10" spans="1:4">
      <c r="A10" s="9" t="s">
        <v>944</v>
      </c>
      <c r="B10" s="9" t="s">
        <v>465</v>
      </c>
      <c r="C10" s="9" t="s">
        <v>466</v>
      </c>
      <c r="D10" s="9" t="s">
        <v>467</v>
      </c>
    </row>
    <row r="11" spans="1:4">
      <c r="A11" t="s">
        <v>945</v>
      </c>
      <c r="B11">
        <v>105</v>
      </c>
      <c r="C11">
        <v>96</v>
      </c>
      <c r="D11">
        <v>74</v>
      </c>
    </row>
    <row r="12" spans="1:4">
      <c r="A12" t="s">
        <v>946</v>
      </c>
      <c r="B12">
        <v>93</v>
      </c>
      <c r="C12">
        <v>110</v>
      </c>
      <c r="D12">
        <v>72</v>
      </c>
    </row>
    <row r="13" spans="1:4">
      <c r="A13" t="s">
        <v>947</v>
      </c>
      <c r="B13">
        <v>113</v>
      </c>
      <c r="C13">
        <v>53</v>
      </c>
      <c r="D13">
        <v>109</v>
      </c>
    </row>
    <row r="14" spans="1:4">
      <c r="A14" t="s">
        <v>948</v>
      </c>
      <c r="B14">
        <v>90</v>
      </c>
      <c r="C14">
        <v>70</v>
      </c>
      <c r="D14">
        <v>115</v>
      </c>
    </row>
    <row r="18" spans="1:4">
      <c r="A18" s="12" t="s">
        <v>949</v>
      </c>
    </row>
    <row r="19" spans="1:4">
      <c r="A19" s="11" t="s">
        <v>950</v>
      </c>
    </row>
    <row r="21" spans="1:4">
      <c r="A21" s="9" t="s">
        <v>944</v>
      </c>
      <c r="B21" s="9" t="s">
        <v>951</v>
      </c>
      <c r="C21" s="9" t="s">
        <v>952</v>
      </c>
      <c r="D21" s="9" t="s">
        <v>953</v>
      </c>
    </row>
    <row r="22" spans="1:4">
      <c r="A22" t="s">
        <v>469</v>
      </c>
      <c r="B22">
        <v>35</v>
      </c>
      <c r="C22">
        <v>34</v>
      </c>
      <c r="D22">
        <v>185</v>
      </c>
    </row>
    <row r="23" spans="1:4">
      <c r="A23" t="s">
        <v>954</v>
      </c>
      <c r="B23">
        <v>42</v>
      </c>
      <c r="C23">
        <v>43</v>
      </c>
      <c r="D23">
        <v>165</v>
      </c>
    </row>
    <row r="24" spans="1:4">
      <c r="A24" t="s">
        <v>459</v>
      </c>
      <c r="B24">
        <v>13</v>
      </c>
      <c r="C24">
        <v>9</v>
      </c>
      <c r="D24">
        <v>219</v>
      </c>
    </row>
    <row r="25" spans="1:4">
      <c r="A25" t="s">
        <v>504</v>
      </c>
      <c r="B25">
        <v>93</v>
      </c>
      <c r="C25">
        <v>109</v>
      </c>
      <c r="D25">
        <v>46</v>
      </c>
    </row>
    <row r="38" spans="1:19">
      <c r="A38" s="12" t="s">
        <v>955</v>
      </c>
    </row>
    <row r="39" spans="1:19">
      <c r="A39" s="9" t="s">
        <v>1</v>
      </c>
      <c r="B39" s="9" t="s">
        <v>0</v>
      </c>
      <c r="C39" s="9" t="s">
        <v>17</v>
      </c>
      <c r="D39" s="9" t="s">
        <v>26</v>
      </c>
      <c r="E39" s="9" t="s">
        <v>36</v>
      </c>
      <c r="F39" s="9" t="s">
        <v>43</v>
      </c>
      <c r="G39" s="9" t="s">
        <v>9</v>
      </c>
      <c r="H39" s="9" t="s">
        <v>13</v>
      </c>
      <c r="I39" s="9" t="s">
        <v>16</v>
      </c>
      <c r="J39" s="9" t="s">
        <v>18</v>
      </c>
      <c r="K39" s="9" t="s">
        <v>22</v>
      </c>
      <c r="L39" s="9" t="s">
        <v>25</v>
      </c>
      <c r="M39" s="9" t="s">
        <v>27</v>
      </c>
      <c r="N39" s="9" t="s">
        <v>32</v>
      </c>
      <c r="O39" s="9" t="s">
        <v>35</v>
      </c>
      <c r="P39" s="9" t="s">
        <v>37</v>
      </c>
      <c r="Q39" s="9" t="s">
        <v>39</v>
      </c>
      <c r="R39" s="9" t="s">
        <v>42</v>
      </c>
      <c r="S39" s="9" t="s">
        <v>47</v>
      </c>
    </row>
    <row r="40" spans="1:19">
      <c r="A40" t="s">
        <v>185</v>
      </c>
      <c r="C40" t="s">
        <v>466</v>
      </c>
      <c r="D40" t="s">
        <v>465</v>
      </c>
      <c r="E40" t="s">
        <v>465</v>
      </c>
      <c r="F40" t="s">
        <v>465</v>
      </c>
      <c r="G40" t="s">
        <v>448</v>
      </c>
      <c r="H40" t="s">
        <v>457</v>
      </c>
      <c r="I40">
        <v>0.1400000000000006</v>
      </c>
      <c r="J40" t="s">
        <v>449</v>
      </c>
      <c r="K40" t="s">
        <v>457</v>
      </c>
      <c r="L40">
        <v>0.8100000000000023</v>
      </c>
      <c r="M40" t="s">
        <v>474</v>
      </c>
      <c r="N40" t="s">
        <v>502</v>
      </c>
      <c r="O40">
        <v>0.3200000000000003</v>
      </c>
      <c r="P40">
        <v>60</v>
      </c>
      <c r="Q40" t="s">
        <v>452</v>
      </c>
      <c r="R40">
        <v>0</v>
      </c>
      <c r="S40" t="s">
        <v>702</v>
      </c>
    </row>
    <row r="41" spans="1:19">
      <c r="A41" t="s">
        <v>110</v>
      </c>
      <c r="C41" t="s">
        <v>466</v>
      </c>
      <c r="D41" t="s">
        <v>466</v>
      </c>
      <c r="E41" t="s">
        <v>467</v>
      </c>
      <c r="F41" t="s">
        <v>466</v>
      </c>
      <c r="G41" t="s">
        <v>449</v>
      </c>
      <c r="H41" t="s">
        <v>452</v>
      </c>
      <c r="I41">
        <v>1.32</v>
      </c>
      <c r="J41" t="s">
        <v>448</v>
      </c>
      <c r="K41" t="s">
        <v>453</v>
      </c>
      <c r="L41">
        <v>0.2800000000000011</v>
      </c>
      <c r="N41" t="s">
        <v>498</v>
      </c>
      <c r="O41">
        <v>0</v>
      </c>
      <c r="P41">
        <v>10</v>
      </c>
      <c r="Q41" t="s">
        <v>452</v>
      </c>
      <c r="R41">
        <v>0.1000000000000014</v>
      </c>
      <c r="S41" t="s">
        <v>627</v>
      </c>
    </row>
    <row r="42" spans="1:19">
      <c r="A42" t="s">
        <v>242</v>
      </c>
      <c r="C42" t="s">
        <v>466</v>
      </c>
      <c r="D42" t="s">
        <v>465</v>
      </c>
      <c r="E42" t="s">
        <v>465</v>
      </c>
      <c r="F42" t="s">
        <v>466</v>
      </c>
      <c r="G42" t="s">
        <v>449</v>
      </c>
      <c r="H42" t="s">
        <v>456</v>
      </c>
      <c r="I42">
        <v>2.109999999999999</v>
      </c>
      <c r="J42" t="s">
        <v>448</v>
      </c>
      <c r="K42" t="s">
        <v>456</v>
      </c>
      <c r="L42">
        <v>3.970000000000006</v>
      </c>
      <c r="M42" t="s">
        <v>472</v>
      </c>
      <c r="N42" t="s">
        <v>496</v>
      </c>
      <c r="O42">
        <v>0.8900000000000006</v>
      </c>
      <c r="P42">
        <v>10</v>
      </c>
      <c r="Q42" t="s">
        <v>454</v>
      </c>
      <c r="R42">
        <v>0.00999999999999801</v>
      </c>
      <c r="S42" t="s">
        <v>759</v>
      </c>
    </row>
    <row r="43" spans="1:19">
      <c r="A43" t="s">
        <v>280</v>
      </c>
      <c r="C43" t="s">
        <v>467</v>
      </c>
      <c r="D43" t="s">
        <v>467</v>
      </c>
      <c r="E43" t="s">
        <v>466</v>
      </c>
      <c r="F43" t="s">
        <v>467</v>
      </c>
      <c r="H43" t="s">
        <v>458</v>
      </c>
      <c r="I43">
        <v>5.700000000000003</v>
      </c>
      <c r="K43" t="s">
        <v>460</v>
      </c>
      <c r="L43">
        <v>2.150000000000006</v>
      </c>
      <c r="M43" t="s">
        <v>472</v>
      </c>
      <c r="N43" t="s">
        <v>503</v>
      </c>
      <c r="O43">
        <v>0.1299999999999955</v>
      </c>
      <c r="P43" t="e">
        <f>#NUM!</f>
        <v>#NUM!</v>
      </c>
      <c r="Q43" t="s">
        <v>507</v>
      </c>
      <c r="R43">
        <v>0.00999999999999801</v>
      </c>
      <c r="S43" t="s">
        <v>782</v>
      </c>
    </row>
    <row r="44" spans="1:19">
      <c r="A44" t="s">
        <v>247</v>
      </c>
      <c r="C44" t="s">
        <v>466</v>
      </c>
      <c r="D44" t="s">
        <v>466</v>
      </c>
      <c r="E44" t="s">
        <v>467</v>
      </c>
      <c r="F44" t="s">
        <v>467</v>
      </c>
      <c r="G44" t="s">
        <v>449</v>
      </c>
      <c r="H44" t="s">
        <v>456</v>
      </c>
      <c r="I44">
        <v>1.209999999999994</v>
      </c>
      <c r="J44" t="s">
        <v>449</v>
      </c>
      <c r="K44" t="s">
        <v>454</v>
      </c>
      <c r="L44">
        <v>3.060000000000002</v>
      </c>
      <c r="N44" t="s">
        <v>455</v>
      </c>
      <c r="O44">
        <v>0.8999999999999986</v>
      </c>
      <c r="P44" t="e">
        <f>#NUM!</f>
        <v>#NUM!</v>
      </c>
      <c r="Q44" t="s">
        <v>456</v>
      </c>
      <c r="R44">
        <v>0.00999999999999801</v>
      </c>
      <c r="S44" t="s">
        <v>764</v>
      </c>
    </row>
    <row r="45" spans="1:19">
      <c r="A45" t="s">
        <v>245</v>
      </c>
      <c r="C45" t="s">
        <v>466</v>
      </c>
      <c r="D45" t="s">
        <v>465</v>
      </c>
      <c r="E45" t="s">
        <v>465</v>
      </c>
      <c r="F45" t="s">
        <v>466</v>
      </c>
      <c r="G45" t="s">
        <v>448</v>
      </c>
      <c r="H45" t="s">
        <v>455</v>
      </c>
      <c r="I45">
        <v>0.00999999999999801</v>
      </c>
      <c r="J45" t="s">
        <v>449</v>
      </c>
      <c r="K45" t="s">
        <v>455</v>
      </c>
      <c r="L45">
        <v>2.790000000000006</v>
      </c>
      <c r="M45" t="s">
        <v>472</v>
      </c>
      <c r="N45" t="s">
        <v>500</v>
      </c>
      <c r="O45">
        <v>0.8599999999999994</v>
      </c>
      <c r="P45">
        <v>40</v>
      </c>
      <c r="Q45" t="s">
        <v>457</v>
      </c>
      <c r="R45">
        <v>0.1599999999999966</v>
      </c>
      <c r="S45" t="s">
        <v>762</v>
      </c>
    </row>
    <row r="46" spans="1:19">
      <c r="A46" t="s">
        <v>116</v>
      </c>
      <c r="C46" t="s">
        <v>466</v>
      </c>
      <c r="D46" t="s">
        <v>465</v>
      </c>
      <c r="E46" t="s">
        <v>465</v>
      </c>
      <c r="F46" t="s">
        <v>465</v>
      </c>
      <c r="G46" t="s">
        <v>448</v>
      </c>
      <c r="H46" t="s">
        <v>453</v>
      </c>
      <c r="I46">
        <v>0.1799999999999997</v>
      </c>
      <c r="J46" t="s">
        <v>449</v>
      </c>
      <c r="K46" t="s">
        <v>453</v>
      </c>
      <c r="L46">
        <v>1.670000000000002</v>
      </c>
      <c r="M46" t="s">
        <v>473</v>
      </c>
      <c r="N46" t="s">
        <v>497</v>
      </c>
      <c r="O46">
        <v>0.7299999999999969</v>
      </c>
      <c r="P46">
        <v>20</v>
      </c>
      <c r="Q46" t="s">
        <v>452</v>
      </c>
      <c r="R46">
        <v>0.00999999999999801</v>
      </c>
      <c r="S46" t="s">
        <v>633</v>
      </c>
    </row>
    <row r="47" spans="1:19">
      <c r="A47" t="s">
        <v>78</v>
      </c>
      <c r="C47" t="s">
        <v>466</v>
      </c>
      <c r="D47" t="s">
        <v>465</v>
      </c>
      <c r="E47" t="s">
        <v>467</v>
      </c>
      <c r="F47" t="s">
        <v>466</v>
      </c>
      <c r="G47" t="s">
        <v>448</v>
      </c>
      <c r="H47" t="s">
        <v>453</v>
      </c>
      <c r="I47">
        <v>0.3500000000000014</v>
      </c>
      <c r="J47" t="s">
        <v>448</v>
      </c>
      <c r="K47" t="s">
        <v>452</v>
      </c>
      <c r="L47">
        <v>3.480000000000004</v>
      </c>
      <c r="N47" t="s">
        <v>496</v>
      </c>
      <c r="O47">
        <v>0.01999999999999602</v>
      </c>
      <c r="P47">
        <v>40</v>
      </c>
      <c r="Q47" t="s">
        <v>453</v>
      </c>
      <c r="R47">
        <v>0.4899999999999949</v>
      </c>
      <c r="S47" t="s">
        <v>595</v>
      </c>
    </row>
    <row r="48" spans="1:19">
      <c r="A48" t="s">
        <v>107</v>
      </c>
      <c r="C48" t="s">
        <v>465</v>
      </c>
      <c r="D48" t="s">
        <v>466</v>
      </c>
      <c r="E48" t="s">
        <v>465</v>
      </c>
      <c r="F48" t="s">
        <v>465</v>
      </c>
      <c r="G48" t="s">
        <v>449</v>
      </c>
      <c r="H48" t="s">
        <v>453</v>
      </c>
      <c r="I48">
        <v>0.09999999999999432</v>
      </c>
      <c r="J48" t="s">
        <v>448</v>
      </c>
      <c r="K48" t="s">
        <v>453</v>
      </c>
      <c r="L48">
        <v>0.1700000000000017</v>
      </c>
      <c r="M48" t="s">
        <v>472</v>
      </c>
      <c r="N48" t="s">
        <v>498</v>
      </c>
      <c r="O48">
        <v>0.07999999999999829</v>
      </c>
      <c r="P48">
        <v>60</v>
      </c>
      <c r="Q48" t="s">
        <v>452</v>
      </c>
      <c r="R48">
        <v>0.01999999999999602</v>
      </c>
      <c r="S48" t="s">
        <v>624</v>
      </c>
    </row>
    <row r="49" spans="1:19">
      <c r="A49" t="s">
        <v>152</v>
      </c>
      <c r="C49" t="s">
        <v>465</v>
      </c>
      <c r="D49" t="s">
        <v>465</v>
      </c>
      <c r="E49" t="s">
        <v>465</v>
      </c>
      <c r="F49" t="s">
        <v>465</v>
      </c>
      <c r="G49" t="s">
        <v>449</v>
      </c>
      <c r="H49" t="s">
        <v>453</v>
      </c>
      <c r="I49">
        <v>0.490000000000002</v>
      </c>
      <c r="J49" t="s">
        <v>449</v>
      </c>
      <c r="K49" t="s">
        <v>455</v>
      </c>
      <c r="L49">
        <v>2.859999999999999</v>
      </c>
      <c r="M49" t="s">
        <v>472</v>
      </c>
      <c r="N49" t="s">
        <v>499</v>
      </c>
      <c r="O49">
        <v>0.02000000000000313</v>
      </c>
      <c r="P49">
        <v>15</v>
      </c>
      <c r="Q49" t="s">
        <v>455</v>
      </c>
      <c r="R49">
        <v>0.5300000000000011</v>
      </c>
      <c r="S49" t="s">
        <v>669</v>
      </c>
    </row>
    <row r="50" spans="1:19">
      <c r="A50" t="s">
        <v>321</v>
      </c>
      <c r="C50" t="s">
        <v>467</v>
      </c>
      <c r="D50" t="s">
        <v>467</v>
      </c>
      <c r="E50" t="s">
        <v>466</v>
      </c>
      <c r="F50" t="s">
        <v>467</v>
      </c>
      <c r="G50" t="s">
        <v>449</v>
      </c>
      <c r="H50" t="s">
        <v>459</v>
      </c>
      <c r="I50">
        <v>0.02000000000000313</v>
      </c>
      <c r="J50" t="s">
        <v>449</v>
      </c>
      <c r="L50" t="e">
        <f>#NUM!</f>
        <v>#NUM!</v>
      </c>
      <c r="M50" t="s">
        <v>472</v>
      </c>
      <c r="N50" t="s">
        <v>503</v>
      </c>
      <c r="O50">
        <v>0.7000000000000028</v>
      </c>
      <c r="P50" t="e">
        <f>#NUM!</f>
        <v>#NUM!</v>
      </c>
      <c r="Q50" t="s">
        <v>461</v>
      </c>
      <c r="R50">
        <v>2.859999999999999</v>
      </c>
      <c r="S50" t="s">
        <v>807</v>
      </c>
    </row>
    <row r="51" spans="1:19">
      <c r="A51" t="s">
        <v>103</v>
      </c>
      <c r="C51" t="s">
        <v>466</v>
      </c>
      <c r="D51" t="s">
        <v>466</v>
      </c>
      <c r="E51" t="s">
        <v>467</v>
      </c>
      <c r="F51" t="s">
        <v>467</v>
      </c>
      <c r="G51" t="s">
        <v>448</v>
      </c>
      <c r="H51" t="s">
        <v>453</v>
      </c>
      <c r="I51">
        <v>1.579999999999998</v>
      </c>
      <c r="J51" t="s">
        <v>449</v>
      </c>
      <c r="K51" t="s">
        <v>452</v>
      </c>
      <c r="L51">
        <v>4.170000000000002</v>
      </c>
      <c r="N51" t="s">
        <v>496</v>
      </c>
      <c r="O51">
        <v>0.9399999999999977</v>
      </c>
      <c r="P51" t="e">
        <f>#NUM!</f>
        <v>#NUM!</v>
      </c>
      <c r="Q51" t="s">
        <v>452</v>
      </c>
      <c r="R51">
        <v>0.02000000000000313</v>
      </c>
      <c r="S51" t="s">
        <v>620</v>
      </c>
    </row>
    <row r="52" spans="1:19">
      <c r="A52" t="s">
        <v>92</v>
      </c>
      <c r="C52" t="s">
        <v>465</v>
      </c>
      <c r="D52" t="s">
        <v>466</v>
      </c>
      <c r="E52" t="s">
        <v>466</v>
      </c>
      <c r="F52" t="s">
        <v>465</v>
      </c>
      <c r="G52" t="s">
        <v>449</v>
      </c>
      <c r="H52" t="s">
        <v>453</v>
      </c>
      <c r="I52">
        <v>0.2299999999999969</v>
      </c>
      <c r="J52" t="s">
        <v>448</v>
      </c>
      <c r="K52" t="s">
        <v>453</v>
      </c>
      <c r="L52">
        <v>2.200000000000003</v>
      </c>
      <c r="M52" t="s">
        <v>474</v>
      </c>
      <c r="N52" t="s">
        <v>497</v>
      </c>
      <c r="O52">
        <v>0.2800000000000011</v>
      </c>
      <c r="P52">
        <v>30</v>
      </c>
      <c r="Q52" t="s">
        <v>452</v>
      </c>
      <c r="R52">
        <v>0.02000000000000313</v>
      </c>
      <c r="S52" t="s">
        <v>609</v>
      </c>
    </row>
    <row r="53" spans="1:19">
      <c r="A53" t="s">
        <v>191</v>
      </c>
      <c r="C53" t="s">
        <v>466</v>
      </c>
      <c r="D53" t="s">
        <v>465</v>
      </c>
      <c r="E53" t="s">
        <v>467</v>
      </c>
      <c r="F53" t="s">
        <v>467</v>
      </c>
      <c r="G53" t="s">
        <v>448</v>
      </c>
      <c r="H53" t="s">
        <v>457</v>
      </c>
      <c r="I53">
        <v>0.02000000000000313</v>
      </c>
      <c r="J53" t="s">
        <v>448</v>
      </c>
      <c r="K53" t="s">
        <v>454</v>
      </c>
      <c r="L53">
        <v>3.040000000000006</v>
      </c>
      <c r="N53" t="s">
        <v>499</v>
      </c>
      <c r="O53">
        <v>0.1600000000000037</v>
      </c>
      <c r="P53" t="e">
        <f>#NUM!</f>
        <v>#NUM!</v>
      </c>
      <c r="Q53" t="s">
        <v>452</v>
      </c>
      <c r="R53">
        <v>0.1700000000000017</v>
      </c>
      <c r="S53" t="s">
        <v>708</v>
      </c>
    </row>
    <row r="54" spans="1:19">
      <c r="A54" t="s">
        <v>106</v>
      </c>
      <c r="C54" t="s">
        <v>465</v>
      </c>
      <c r="D54" t="s">
        <v>466</v>
      </c>
      <c r="E54" t="s">
        <v>465</v>
      </c>
      <c r="F54" t="s">
        <v>465</v>
      </c>
      <c r="G54" t="s">
        <v>448</v>
      </c>
      <c r="H54" t="s">
        <v>452</v>
      </c>
      <c r="I54">
        <v>0.02999999999999403</v>
      </c>
      <c r="J54" t="s">
        <v>448</v>
      </c>
      <c r="K54" t="s">
        <v>453</v>
      </c>
      <c r="L54">
        <v>1.93</v>
      </c>
      <c r="M54" t="s">
        <v>472</v>
      </c>
      <c r="N54" t="s">
        <v>496</v>
      </c>
      <c r="O54">
        <v>0.529999999999994</v>
      </c>
      <c r="P54">
        <v>4</v>
      </c>
      <c r="Q54" t="s">
        <v>453</v>
      </c>
      <c r="R54">
        <v>0.240000000000002</v>
      </c>
      <c r="S54" t="s">
        <v>623</v>
      </c>
    </row>
    <row r="58" spans="1:19">
      <c r="A58" s="10" t="s">
        <v>956</v>
      </c>
    </row>
    <row r="59" spans="1:19">
      <c r="A59" s="9" t="s">
        <v>957</v>
      </c>
      <c r="B59" s="9" t="s">
        <v>458</v>
      </c>
      <c r="C59" s="9" t="s">
        <v>958</v>
      </c>
      <c r="D59" s="9" t="s">
        <v>959</v>
      </c>
      <c r="E59" s="9" t="s">
        <v>960</v>
      </c>
      <c r="F59" s="9" t="s">
        <v>961</v>
      </c>
      <c r="G59" s="9" t="s">
        <v>962</v>
      </c>
      <c r="H59" s="9" t="s">
        <v>963</v>
      </c>
      <c r="I59" s="9" t="s">
        <v>964</v>
      </c>
      <c r="J59" s="9" t="s">
        <v>965</v>
      </c>
      <c r="K59" s="9" t="s">
        <v>966</v>
      </c>
      <c r="L59" s="9" t="s">
        <v>967</v>
      </c>
    </row>
    <row r="60" spans="1:19">
      <c r="A60" t="s">
        <v>945</v>
      </c>
      <c r="B60">
        <v>201</v>
      </c>
      <c r="C60">
        <v>58</v>
      </c>
      <c r="D60">
        <v>47</v>
      </c>
      <c r="E60">
        <v>45</v>
      </c>
      <c r="F60">
        <v>51</v>
      </c>
      <c r="G60">
        <v>52.24</v>
      </c>
      <c r="H60">
        <v>0.0428</v>
      </c>
      <c r="I60">
        <v>0.609834</v>
      </c>
      <c r="J60">
        <v>51</v>
      </c>
      <c r="K60">
        <v>45</v>
      </c>
      <c r="L60" t="s">
        <v>968</v>
      </c>
    </row>
    <row r="61" spans="1:19">
      <c r="A61" t="s">
        <v>946</v>
      </c>
      <c r="B61">
        <v>203</v>
      </c>
      <c r="C61">
        <v>43</v>
      </c>
      <c r="D61">
        <v>50</v>
      </c>
      <c r="E61">
        <v>67</v>
      </c>
      <c r="F61">
        <v>43</v>
      </c>
      <c r="G61">
        <v>45.81</v>
      </c>
      <c r="H61">
        <v>-0.0701</v>
      </c>
      <c r="I61">
        <v>0.02831</v>
      </c>
      <c r="J61">
        <v>43</v>
      </c>
      <c r="K61">
        <v>67</v>
      </c>
      <c r="L61" t="s">
        <v>969</v>
      </c>
    </row>
    <row r="62" spans="1:19">
      <c r="A62" t="s">
        <v>947</v>
      </c>
      <c r="B62">
        <v>166</v>
      </c>
      <c r="C62">
        <v>7</v>
      </c>
      <c r="D62">
        <v>106</v>
      </c>
      <c r="E62">
        <v>39</v>
      </c>
      <c r="F62">
        <v>14</v>
      </c>
      <c r="G62">
        <v>68.06999999999999</v>
      </c>
      <c r="H62">
        <v>0.0427</v>
      </c>
      <c r="I62">
        <v>0.0009779999999999999</v>
      </c>
      <c r="J62">
        <v>14</v>
      </c>
      <c r="K62">
        <v>39</v>
      </c>
      <c r="L62" t="s">
        <v>969</v>
      </c>
    </row>
    <row r="63" spans="1:19">
      <c r="A63" t="s">
        <v>948</v>
      </c>
      <c r="B63">
        <v>160</v>
      </c>
      <c r="C63">
        <v>62</v>
      </c>
      <c r="D63">
        <v>28</v>
      </c>
      <c r="E63">
        <v>22</v>
      </c>
      <c r="F63">
        <v>48</v>
      </c>
      <c r="G63">
        <v>56.25</v>
      </c>
      <c r="H63">
        <v>0.1083</v>
      </c>
      <c r="I63">
        <v>0.002807</v>
      </c>
      <c r="J63">
        <v>48</v>
      </c>
      <c r="K63">
        <v>22</v>
      </c>
      <c r="L63" t="s">
        <v>968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Lote_concordancia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2026-02-15T22:53:11Z</dcterms:created>
  <dcterms:modified xsi:type="dcterms:W3CDTF">2026-02-15T22:53:11Z</dcterms:modified>
</cp:coreProperties>
</file>